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" sheetId="2" r:id="rId5"/>
    <sheet state="visible" name="Q3" sheetId="3" r:id="rId6"/>
    <sheet state="visible" name="Q4" sheetId="4" r:id="rId7"/>
    <sheet state="visible" name="Q5" sheetId="5" r:id="rId8"/>
    <sheet state="visible" name="Q6" sheetId="6" r:id="rId9"/>
    <sheet state="visible" name="Q7" sheetId="7" r:id="rId10"/>
    <sheet state="visible" name="Q8" sheetId="8" r:id="rId11"/>
  </sheets>
  <definedNames/>
  <calcPr/>
</workbook>
</file>

<file path=xl/sharedStrings.xml><?xml version="1.0" encoding="utf-8"?>
<sst xmlns="http://schemas.openxmlformats.org/spreadsheetml/2006/main" count="190" uniqueCount="182">
  <si>
    <t>ASSIGNMENT - DISTRIBUTIONS</t>
  </si>
  <si>
    <t>Question 1 )</t>
  </si>
  <si>
    <t>Simulate 30 rolls with =RANDBETWEEN(1,6). What is the probability of rolling a 3 exactly 5 times? (Hint: Use</t>
  </si>
  <si>
    <t>BINOM.DIST)</t>
  </si>
  <si>
    <t>Answer</t>
  </si>
  <si>
    <t>Step 1: Generate 30 Rolls</t>
  </si>
  <si>
    <t>Step 2: Count How Many 3s</t>
  </si>
  <si>
    <t>Step 3: Check if It’s Exactly 5</t>
  </si>
  <si>
    <t>Step 4 : Theoretical Probability (using BINOM.DIST):</t>
  </si>
  <si>
    <t>Formula:</t>
  </si>
  <si>
    <t>Code</t>
  </si>
  <si>
    <t>Explanation:</t>
  </si>
  <si>
    <t>5 → number of successes (rolling a 3 exactly 5 times)</t>
  </si>
  <si>
    <t>30 → number of trials (rolls)</t>
  </si>
  <si>
    <t>1/6 → probability of rolling a 3</t>
  </si>
  <si>
    <t>FALSE → exact probability (not cumulative)</t>
  </si>
  <si>
    <t>The binomial distribution is a discrete probability distribution that describes the number of successes</t>
  </si>
  <si>
    <t xml:space="preserve"> in a fixed number of independent trials, each with two possible outcomes (success or failure) </t>
  </si>
  <si>
    <t xml:space="preserve"> Formal Definition</t>
  </si>
  <si>
    <t>Trials: A binomial experiment consists of n independent Bernoulli trials.</t>
  </si>
  <si>
    <t>Outcomes: Each trial results in either success (with probability p) or failure (with probability 1−p).</t>
  </si>
  <si>
    <t>Random Variable: X = number of successes in n trials.</t>
  </si>
  <si>
    <t>Question 2 )</t>
  </si>
  <si>
    <t>Generate 100 values in Excel using the continuous uniform distribution RAND() and plot a histogram.</t>
  </si>
  <si>
    <t>Describe the shape of the distribution.</t>
  </si>
  <si>
    <t>STEP 1 : Generate 100 random values</t>
  </si>
  <si>
    <t>STEP 2 : Insert a Histogram</t>
  </si>
  <si>
    <t>Drag it down until you have 100 rows filled.</t>
  </si>
  <si>
    <t>Each value will be between 0 and 1, drawn from a continuous uniform distribution.</t>
  </si>
  <si>
    <t>SHAPE OF A HISTOGRAM</t>
  </si>
  <si>
    <t>The histogram shows a nearly flat distribution, consistent with the uniform distribution between 0 and 1.</t>
  </si>
  <si>
    <t xml:space="preserve"> Minor fluctuations are due to the limited sample size (100 values).”</t>
  </si>
  <si>
    <t>Rectangular shape: Each bin (interval) has roughly the same frequency, giving the histogram a rectangular/flat profile.</t>
  </si>
  <si>
    <t>Small fluctuations: Because you only generated 100 values, some bins may be slightly taller or shorter. These are just random sampling variations.</t>
  </si>
  <si>
    <t>Trend with larger samples: If you increase the sample size (e.g., 1,000 or 10,000), the histogram will smooth out and look even more flat.</t>
  </si>
  <si>
    <t>Uniform distribution: The values are drawn from a continuous uniform distribution between 0 and 1, so the histogram should</t>
  </si>
  <si>
    <t>look approximately flat across the bins.</t>
  </si>
  <si>
    <t xml:space="preserve">Question 3 ) </t>
  </si>
  <si>
    <t>A dataset has a mean of 50 and a standard deviation of 5. What percentage of values lie between 45 and</t>
  </si>
  <si>
    <t>55 if the data follows a normal distribution?</t>
  </si>
  <si>
    <t>Given</t>
  </si>
  <si>
    <t>Step 1: Convert to Z-scores</t>
  </si>
  <si>
    <t>Mean (μ) = 50</t>
  </si>
  <si>
    <t>We calculate how many standard deviations away 45 and 55 are from the mean:</t>
  </si>
  <si>
    <t>Standard deviation (σ) = 5</t>
  </si>
  <si>
    <t>Z=X−μ/σ</t>
  </si>
  <si>
    <t>Interval: 45 to 55</t>
  </si>
  <si>
    <t>For X=45:</t>
  </si>
  <si>
    <t>Z=45−505=−1</t>
  </si>
  <si>
    <t>For X=55:</t>
  </si>
  <si>
    <t>Z=55−505=+1</t>
  </si>
  <si>
    <t>So the interval 45–55 corresponds to Z between -1 and +1.</t>
  </si>
  <si>
    <t>Step 2: Use the Empirical Rule</t>
  </si>
  <si>
    <t>In a normal distribution, about 68% of values lie within 1 standard deviation of the mean.</t>
  </si>
  <si>
    <t>That means between 45 and 55, approximately 68% of the data will fall.</t>
  </si>
  <si>
    <t>Final Answer</t>
  </si>
  <si>
    <t>About 68% of the values lie between 45 and 55 in a normal distribution.</t>
  </si>
  <si>
    <t>Interpretation of the Graph</t>
  </si>
  <si>
    <t>The bell curve shows the normal distribution centered at 50.</t>
  </si>
  <si>
    <t xml:space="preserve">The shaded region between 45 and 55 represents </t>
  </si>
  <si>
    <t>the values within one standard deviation.</t>
  </si>
  <si>
    <t>This shaded area covers about 68% of the total probability mass.</t>
  </si>
  <si>
    <t>Question 4 )</t>
  </si>
  <si>
    <t>What is the concept of standardization (z-score), and why is it important in data analysis? Explain the</t>
  </si>
  <si>
    <t>formula and how standardization transforms a dataset.</t>
  </si>
  <si>
    <t>Standardization (z-score) is the process of rescaling data so that it has a mean of 0 and a standard deviation of 1.</t>
  </si>
  <si>
    <t xml:space="preserve"> It allows comparisons across different datasets or variables by putting them on the same scale, which is crucial in statistics and machine learning</t>
  </si>
  <si>
    <t>Concept of Standardization (Z-Score)</t>
  </si>
  <si>
    <t xml:space="preserve">A z-score (also called a standard score) tells you how many standard deviations </t>
  </si>
  <si>
    <t>a data point is from the mean of its distribution</t>
  </si>
  <si>
    <t>It transforms raw values into a common scale, enabling meaningful comparisons</t>
  </si>
  <si>
    <t xml:space="preserve"> across variables that may originally have different units or ranges</t>
  </si>
  <si>
    <t>Formula</t>
  </si>
  <si>
    <t>Importance in Data Analysis</t>
  </si>
  <si>
    <t>z=X−μσ</t>
  </si>
  <si>
    <t>Comparability: Makes variables with different scales</t>
  </si>
  <si>
    <t>X = raw data value</t>
  </si>
  <si>
    <t xml:space="preserve"> (e.g., SAT vs ACT scores) directly comparable.</t>
  </si>
  <si>
    <t>Machine Learning: Prevents features with larger numeric</t>
  </si>
  <si>
    <t>μ = mean of the dataset</t>
  </si>
  <si>
    <t xml:space="preserve"> ranges from dominating models like regression, clustering, or neural networks.</t>
  </si>
  <si>
    <t>Statistical Analysis: Essential for calculating probabilities</t>
  </si>
  <si>
    <t>σ = standard deviation of the data</t>
  </si>
  <si>
    <t>, percentiles, and hypothesis testing in normal distributions.</t>
  </si>
  <si>
    <t>Outlier Detection: Extreme z-scores (e.g., &gt;3 or &lt; -3)</t>
  </si>
  <si>
    <t>How Standardization Transforms a Dataset</t>
  </si>
  <si>
    <t xml:space="preserve"> highlight unusual values.</t>
  </si>
  <si>
    <t>Rescaling: After transformation, the dataset has:</t>
  </si>
  <si>
    <t>Mean = 0</t>
  </si>
  <si>
    <t>Standard deviation = 1</t>
  </si>
  <si>
    <t>Interpretation:</t>
  </si>
  <si>
    <t>A z-score of 0 means the value is exactly at the mean.</t>
  </si>
  <si>
    <t>Positive z-scores indicate values above the mean.</t>
  </si>
  <si>
    <t>Negative z-scores indicate values below the mean.</t>
  </si>
  <si>
    <t>Example: If a student scores 55 in a test with mean 50 and standard deviation 5:</t>
  </si>
  <si>
    <t>z=55−50/5=1</t>
  </si>
  <si>
    <t>→ The score is 1 standard deviation above the mean.</t>
  </si>
  <si>
    <t>Question 5 )</t>
  </si>
  <si>
    <t>What is Kurtosis and their type?</t>
  </si>
  <si>
    <t>What is Kurtosis?</t>
  </si>
  <si>
    <t>Definition: Kurtosis measures how often extreme values (outliers) occur in a dataset compared to a normal distribution.</t>
  </si>
  <si>
    <t>Focus: It is not about the peak of the distribution, but rather the tails — the probability of very high or very low values.</t>
  </si>
  <si>
    <t>Formula (conceptual): Kurtosis is based on the fourth central moment of a distribution:</t>
  </si>
  <si>
    <t>Kurtosis=E[(X−μ)4]σ4</t>
  </si>
  <si>
    <t>where E is expectation, μ is mean, and σ is standard deviation.</t>
  </si>
  <si>
    <t>Types of Kurtosis</t>
  </si>
  <si>
    <t>1) Mesokurtic</t>
  </si>
  <si>
    <t>2 ) Leptokurtic</t>
  </si>
  <si>
    <t>3 ) Platykurtic</t>
  </si>
  <si>
    <t>Distribution has kurtosis similar to the normal distribution.</t>
  </si>
  <si>
    <t>Distribution has higher kurtosis than normal.</t>
  </si>
  <si>
    <t>Distribution has lower kurtosis than normal.</t>
  </si>
  <si>
    <t>Excess kurtosis ≈ 0.</t>
  </si>
  <si>
    <t>Excess kurtosis &gt; 0.</t>
  </si>
  <si>
    <t>Excess kurtosis &lt; 0.</t>
  </si>
  <si>
    <t>Tails are moderate, neither too heavy nor too light.</t>
  </si>
  <si>
    <t>Tails are heavier/fatter, meaning more extreme values (outliers).</t>
  </si>
  <si>
    <t>Tails are lighter/thinner, meaning fewer extreme values.</t>
  </si>
  <si>
    <t>Example: Standard normal distribution.</t>
  </si>
  <si>
    <t>Peak is sharper compared to normal.</t>
  </si>
  <si>
    <t>Peak is flatter compared to normal.</t>
  </si>
  <si>
    <t>Example: Financial returns often show leptokurtic behavior.</t>
  </si>
  <si>
    <t>Example: Uniform distribution.</t>
  </si>
  <si>
    <t>Mesokurtic → Normal tails</t>
  </si>
  <si>
    <t>Leptokurtic → Heavy tails (more outliers)</t>
  </si>
  <si>
    <t>Platykurtic → Light tails (fewer outliers)</t>
  </si>
  <si>
    <t>Question 6 )</t>
  </si>
  <si>
    <t>Explain why the uniform distribution is a good model for the outcome of rolling a fair die.</t>
  </si>
  <si>
    <t>Why Uniform Distribution Fits a Fair Die</t>
  </si>
  <si>
    <t>1  ) Equal Probability of Outcomes</t>
  </si>
  <si>
    <t>3 ) Shape of the Distribution</t>
  </si>
  <si>
    <t>A fair six‑sided die has outcomes: {1, 2, 3, 4, 5, 6}.</t>
  </si>
  <si>
    <t>If you plot the probabilities, the histogram looks rectangular (all bars of equal height).</t>
  </si>
  <si>
    <t>Each face has the same probability of appearing:</t>
  </si>
  <si>
    <t>This is exactly the shape of a uniform distribution.</t>
  </si>
  <si>
    <t>P(X=k)=1/6,k=1,2,3,4,5,6</t>
  </si>
  <si>
    <t xml:space="preserve">This matches the definition of a discrete uniform distribution: </t>
  </si>
  <si>
    <t>all possible outcomes are equally likely.</t>
  </si>
  <si>
    <t>2 ) No Bias</t>
  </si>
  <si>
    <t>4 ) Predictability in Modeling</t>
  </si>
  <si>
    <t>“Fair” means the die is not weighted or loaded.</t>
  </si>
  <si>
    <t>Using the uniform distribution makes calculations straightforward:</t>
  </si>
  <si>
    <t xml:space="preserve">There is no preference for any particular number, </t>
  </si>
  <si>
    <t>Mean: μ=n+1/2=3.5</t>
  </si>
  <si>
    <t>so the distribution is flat across all outcomes.</t>
  </si>
  <si>
    <t>Variance: σ2=n2−1/12=2.92 for n=6.</t>
  </si>
  <si>
    <t>These values are consistent with what we expect from a fair die</t>
  </si>
  <si>
    <t>Question 7 )</t>
  </si>
  <si>
    <t>Use Excel to compute the probability of getting at least 8 successes in 15 trials with success probability 0.5</t>
  </si>
  <si>
    <t>this is a binomial probability problem</t>
  </si>
  <si>
    <t>Problem Setup</t>
  </si>
  <si>
    <t>Number of trials (n) = 15</t>
  </si>
  <si>
    <t>Probability of success (p) = 0.5</t>
  </si>
  <si>
    <t>We want: P(X≥8), where X∼Binomial(n=15,p=0.5).</t>
  </si>
  <si>
    <t>Step 1: Formula</t>
  </si>
  <si>
    <t>The binomial probability mass function is:</t>
  </si>
  <si>
    <t>P(X=k)=(n/k)⋅pk⋅(1−p)n−k</t>
  </si>
  <si>
    <t>Step 2: Excel Functions</t>
  </si>
  <si>
    <t>Compute P(X≥8): Since cumulative gives P(X≤k), we can use:</t>
  </si>
  <si>
    <t>This subtracts the probability of 0–7 successes from 1.</t>
  </si>
  <si>
    <t>Question 8 )</t>
  </si>
  <si>
    <t>How does log transformation help in stabilizing variance and making data more normally distributed?</t>
  </si>
  <si>
    <t>🔎 What is Log Transformation?</t>
  </si>
  <si>
    <t>A log transformation means applying the logarithm (usually natural log, ln) to each data value.</t>
  </si>
  <si>
    <t>Y′=log⁡(Y)</t>
  </si>
  <si>
    <t>where Y is the original data and Y′ is the transformed data.</t>
  </si>
  <si>
    <t>How It Helps</t>
  </si>
  <si>
    <t>1 ) Stabilizing Variance (Reducing Heteroscedasticity)</t>
  </si>
  <si>
    <t>In many datasets, variance increases with the mean (e.g., income, population, biological measurements).</t>
  </si>
  <si>
    <t>Taking logs compresses large values more than small ones.</t>
  </si>
  <si>
    <t>This reduces the spread of high values and makes variance more uniform across the dataset.</t>
  </si>
  <si>
    <t>2 ) Making Data More Normally Distributed</t>
  </si>
  <si>
    <t>3 ) Interpretability</t>
  </si>
  <si>
    <t>Many real‑world variables are right‑skewed (long tail to the right).</t>
  </si>
  <si>
    <t>After log transformation, differences become relative (percentage changes) rather than absolute.</t>
  </si>
  <si>
    <t>Log transformation pulls in the long tail, reducing skewness.</t>
  </si>
  <si>
    <t>Example: A difference between 100 and 200 (double) is treated similarly to 10 and 20 (double), which is often more meaningful.</t>
  </si>
  <si>
    <t>This makes the distribution closer to symmetric (bell‑shaped), which is useful for statistical methods that assume normality.</t>
  </si>
  <si>
    <t>Example</t>
  </si>
  <si>
    <t>Suppose incomes range from ₹10,000 to ₹10,00,000.</t>
  </si>
  <si>
    <t>Raw data: highly skewed, variance increases with income.</t>
  </si>
  <si>
    <t>Log‑transformed data: compresses large incomes, spreads out small incomes → distribution looks more balanced and closer to normal.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</si>
</sst>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8.0"/>
      <color theme="1"/>
      <name val="Arial"/>
      <scheme val="minor"/>
    </font>
    <font>
      <b/>
      <sz val="16.0"/>
      <color theme="1"/>
      <name val="Arial"/>
      <scheme val="minor"/>
    </font>
    <font>
      <b/>
      <sz val="16.0"/>
      <color theme="1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B45F06"/>
        <bgColor rgb="FFB45F06"/>
      </patternFill>
    </fill>
    <fill>
      <patternFill patternType="solid">
        <fgColor rgb="FFEA9999"/>
        <bgColor rgb="FFEA9999"/>
      </patternFill>
    </fill>
    <fill>
      <patternFill patternType="solid">
        <fgColor rgb="FFA61C00"/>
        <bgColor rgb="FFA61C00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2" numFmtId="0" xfId="0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5" fontId="4" numFmtId="0" xfId="0" applyAlignment="1" applyFill="1" applyFont="1">
      <alignment readingOrder="0"/>
    </xf>
    <xf borderId="0" fillId="5" fontId="4" numFmtId="0" xfId="0" applyFont="1"/>
    <xf borderId="0" fillId="0" fontId="4" numFmtId="0" xfId="0" applyFont="1"/>
    <xf borderId="0" fillId="0" fontId="5" numFmtId="0" xfId="0" applyFont="1"/>
    <xf borderId="0" fillId="5" fontId="6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borderId="0" fillId="6" fontId="8" numFmtId="0" xfId="0" applyAlignment="1" applyFill="1" applyFont="1">
      <alignment readingOrder="0"/>
    </xf>
    <xf borderId="0" fillId="6" fontId="8" numFmtId="0" xfId="0" applyFont="1"/>
    <xf borderId="0" fillId="0" fontId="8" numFmtId="0" xfId="0" applyFont="1"/>
    <xf borderId="0" fillId="0" fontId="9" numFmtId="0" xfId="0" applyFont="1"/>
    <xf borderId="0" fillId="7" fontId="8" numFmtId="0" xfId="0" applyFill="1" applyFont="1"/>
    <xf borderId="0" fillId="8" fontId="8" numFmtId="0" xfId="0" applyAlignment="1" applyFill="1" applyFont="1">
      <alignment readingOrder="0"/>
    </xf>
    <xf borderId="0" fillId="8" fontId="8" numFmtId="0" xfId="0" applyFont="1"/>
    <xf borderId="0" fillId="5" fontId="10" numFmtId="0" xfId="0" applyAlignment="1" applyFont="1">
      <alignment readingOrder="0"/>
    </xf>
    <xf borderId="0" fillId="5" fontId="10" numFmtId="0" xfId="0" applyFont="1"/>
    <xf borderId="0" fillId="5" fontId="11" numFmtId="0" xfId="0" applyFont="1"/>
    <xf borderId="0" fillId="2" fontId="12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12" numFmtId="0" xfId="0" applyFont="1"/>
    <xf borderId="0" fillId="2" fontId="11" numFmtId="0" xfId="0" applyFont="1"/>
    <xf borderId="0" fillId="2" fontId="8" numFmtId="0" xfId="0" applyFont="1"/>
    <xf borderId="0" fillId="5" fontId="12" numFmtId="0" xfId="0" applyAlignment="1" applyFont="1">
      <alignment readingOrder="0"/>
    </xf>
    <xf borderId="0" fillId="5" fontId="12" numFmtId="0" xfId="0" applyFont="1"/>
    <xf borderId="0" fillId="0" fontId="12" numFmtId="0" xfId="0" applyFont="1"/>
    <xf borderId="0" fillId="2" fontId="2" numFmtId="0" xfId="0" applyAlignment="1" applyFont="1">
      <alignment readingOrder="0"/>
    </xf>
    <xf borderId="0" fillId="2" fontId="2" numFmtId="0" xfId="0" applyFont="1"/>
    <xf borderId="0" fillId="7" fontId="11" numFmtId="0" xfId="0" applyFont="1"/>
    <xf borderId="0" fillId="7" fontId="2" numFmtId="0" xfId="0" applyFont="1"/>
    <xf borderId="0" fillId="9" fontId="2" numFmtId="0" xfId="0" applyAlignment="1" applyFill="1" applyFont="1">
      <alignment readingOrder="0"/>
    </xf>
    <xf borderId="0" fillId="9" fontId="2" numFmtId="0" xfId="0" applyFont="1"/>
    <xf borderId="0" fillId="8" fontId="2" numFmtId="0" xfId="0" applyAlignment="1" applyFont="1">
      <alignment readingOrder="0"/>
    </xf>
    <xf borderId="0" fillId="8" fontId="2" numFmtId="0" xfId="0" applyFont="1"/>
    <xf borderId="0" fillId="9" fontId="2" numFmtId="0" xfId="0" applyAlignment="1" applyFont="1">
      <alignment horizontal="center" readingOrder="0"/>
    </xf>
    <xf borderId="0" fillId="9" fontId="4" numFmtId="0" xfId="0" applyAlignment="1" applyFont="1">
      <alignment readingOrder="0"/>
    </xf>
    <xf borderId="0" fillId="9" fontId="4" numFmtId="0" xfId="0" applyFont="1"/>
    <xf borderId="0" fillId="7" fontId="5" numFmtId="0" xfId="0" applyFont="1"/>
    <xf borderId="0" fillId="9" fontId="4" numFmtId="0" xfId="0" applyFont="1"/>
    <xf borderId="0" fillId="6" fontId="11" numFmtId="0" xfId="0" applyFont="1"/>
    <xf borderId="0" fillId="5" fontId="8" numFmtId="0" xfId="0" applyAlignment="1" applyFont="1">
      <alignment readingOrder="0"/>
    </xf>
    <xf borderId="0" fillId="5" fontId="8" numFmtId="0" xfId="0" applyFont="1"/>
    <xf borderId="0" fillId="10" fontId="8" numFmtId="0" xfId="0" applyFill="1" applyFont="1"/>
    <xf borderId="0" fillId="10" fontId="8" numFmtId="0" xfId="0" applyAlignment="1" applyFont="1">
      <alignment readingOrder="0"/>
    </xf>
    <xf borderId="0" fillId="11" fontId="8" numFmtId="0" xfId="0" applyFill="1" applyFont="1"/>
    <xf borderId="0" fillId="11" fontId="8" numFmtId="0" xfId="0" applyAlignment="1" applyFont="1">
      <alignment readingOrder="0"/>
    </xf>
    <xf borderId="0" fillId="12" fontId="8" numFmtId="0" xfId="0" applyFill="1" applyFont="1"/>
    <xf borderId="0" fillId="12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723900</xdr:colOff>
      <xdr:row>5</xdr:row>
      <xdr:rowOff>104775</xdr:rowOff>
    </xdr:from>
    <xdr:ext cx="4752975" cy="2628900"/>
    <xdr:pic>
      <xdr:nvPicPr>
        <xdr:cNvPr id="120351201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28</xdr:row>
      <xdr:rowOff>0</xdr:rowOff>
    </xdr:from>
    <xdr:ext cx="4876800" cy="2924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1"/>
      <c r="E2" s="2" t="s">
        <v>0</v>
      </c>
      <c r="F2" s="1"/>
      <c r="G2" s="1"/>
      <c r="H2" s="1"/>
    </row>
    <row r="5">
      <c r="A5" s="3" t="s">
        <v>1</v>
      </c>
      <c r="B5" s="3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5"/>
      <c r="N5" s="5"/>
      <c r="O5" s="5"/>
      <c r="P5" s="5"/>
    </row>
    <row r="6">
      <c r="A6" s="4"/>
      <c r="B6" s="3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5"/>
      <c r="N6" s="5"/>
      <c r="O6" s="5"/>
      <c r="P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>
      <c r="A8" s="6" t="s">
        <v>4</v>
      </c>
      <c r="B8" s="6" t="s">
        <v>5</v>
      </c>
      <c r="C8" s="7"/>
      <c r="D8" s="7"/>
      <c r="E8" s="7"/>
      <c r="F8" s="6" t="s">
        <v>6</v>
      </c>
      <c r="G8" s="7"/>
      <c r="H8" s="7"/>
      <c r="I8" s="6"/>
      <c r="J8" s="6" t="s">
        <v>7</v>
      </c>
      <c r="K8" s="7"/>
      <c r="L8" s="7"/>
      <c r="M8" s="5"/>
      <c r="N8" s="5"/>
      <c r="O8" s="5"/>
      <c r="P8" s="5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5"/>
      <c r="N9" s="5"/>
      <c r="O9" s="5"/>
      <c r="P9" s="5"/>
    </row>
    <row r="10">
      <c r="A10" s="7"/>
      <c r="B10" s="8">
        <f t="shared" ref="B10:B40" si="1">RANDBETWEEN(1,6)</f>
        <v>5</v>
      </c>
      <c r="C10" s="9"/>
      <c r="D10" s="9"/>
      <c r="E10" s="9"/>
      <c r="F10" s="9">
        <f>COUNTIF(B10:B40,3)</f>
        <v>5</v>
      </c>
      <c r="G10" s="9"/>
      <c r="H10" s="9"/>
      <c r="I10" s="7"/>
      <c r="J10" s="7" t="str">
        <f>IF(COUNTIF(B10:B40,3)=5,"Yes","No")</f>
        <v>Yes</v>
      </c>
      <c r="K10" s="7"/>
      <c r="L10" s="7"/>
      <c r="M10" s="5"/>
      <c r="N10" s="5"/>
      <c r="O10" s="5"/>
      <c r="P10" s="5"/>
    </row>
    <row r="11">
      <c r="A11" s="7"/>
      <c r="B11" s="8">
        <f t="shared" si="1"/>
        <v>2</v>
      </c>
      <c r="C11" s="9"/>
      <c r="D11" s="9"/>
      <c r="E11" s="9"/>
      <c r="F11" s="9"/>
      <c r="G11" s="9"/>
      <c r="H11" s="9"/>
      <c r="I11" s="7"/>
      <c r="J11" s="7"/>
      <c r="K11" s="7"/>
      <c r="L11" s="7"/>
      <c r="M11" s="5"/>
      <c r="N11" s="5"/>
      <c r="O11" s="5"/>
      <c r="P11" s="5"/>
    </row>
    <row r="12">
      <c r="A12" s="7"/>
      <c r="B12" s="8">
        <f t="shared" si="1"/>
        <v>6</v>
      </c>
      <c r="C12" s="9"/>
      <c r="D12" s="9"/>
      <c r="E12" s="9"/>
      <c r="F12" s="9"/>
      <c r="G12" s="9"/>
      <c r="H12" s="9"/>
      <c r="I12" s="7"/>
      <c r="J12" s="7"/>
      <c r="K12" s="7"/>
      <c r="L12" s="7"/>
      <c r="M12" s="5"/>
      <c r="N12" s="5"/>
      <c r="O12" s="5"/>
      <c r="P12" s="5"/>
    </row>
    <row r="13">
      <c r="A13" s="7"/>
      <c r="B13" s="8">
        <f t="shared" si="1"/>
        <v>1</v>
      </c>
      <c r="C13" s="9"/>
      <c r="D13" s="9"/>
      <c r="E13" s="9"/>
      <c r="F13" s="6" t="s">
        <v>8</v>
      </c>
      <c r="G13" s="9"/>
      <c r="H13" s="9"/>
      <c r="I13" s="7"/>
      <c r="J13" s="7"/>
      <c r="K13" s="7"/>
      <c r="L13" s="7"/>
      <c r="M13" s="5"/>
      <c r="N13" s="5"/>
      <c r="O13" s="5"/>
      <c r="P13" s="5"/>
    </row>
    <row r="14">
      <c r="A14" s="7"/>
      <c r="B14" s="8">
        <f t="shared" si="1"/>
        <v>3</v>
      </c>
      <c r="C14" s="9"/>
      <c r="D14" s="9"/>
      <c r="E14" s="9"/>
      <c r="F14" s="7"/>
      <c r="G14" s="9"/>
      <c r="H14" s="9"/>
      <c r="I14" s="7"/>
      <c r="J14" s="7"/>
      <c r="K14" s="7"/>
      <c r="L14" s="7"/>
      <c r="M14" s="5"/>
      <c r="N14" s="5"/>
      <c r="O14" s="5"/>
      <c r="P14" s="5"/>
    </row>
    <row r="15">
      <c r="A15" s="7"/>
      <c r="B15" s="8">
        <f t="shared" si="1"/>
        <v>4</v>
      </c>
      <c r="C15" s="9"/>
      <c r="D15" s="9"/>
      <c r="E15" s="9"/>
      <c r="F15" s="6" t="s">
        <v>9</v>
      </c>
      <c r="G15" s="7"/>
      <c r="H15" s="7"/>
      <c r="I15" s="7"/>
      <c r="J15" s="7"/>
      <c r="K15" s="7"/>
      <c r="L15" s="7"/>
      <c r="M15" s="5"/>
      <c r="N15" s="5"/>
      <c r="O15" s="5"/>
      <c r="P15" s="5"/>
    </row>
    <row r="16">
      <c r="A16" s="7"/>
      <c r="B16" s="8">
        <f t="shared" si="1"/>
        <v>2</v>
      </c>
      <c r="C16" s="9"/>
      <c r="D16" s="9"/>
      <c r="E16" s="9"/>
      <c r="F16" s="7"/>
      <c r="G16" s="7"/>
      <c r="H16" s="7"/>
      <c r="I16" s="7"/>
      <c r="J16" s="7"/>
      <c r="K16" s="7"/>
      <c r="L16" s="7"/>
      <c r="M16" s="5"/>
      <c r="N16" s="5"/>
      <c r="O16" s="5"/>
      <c r="P16" s="5"/>
    </row>
    <row r="17">
      <c r="A17" s="7"/>
      <c r="B17" s="8">
        <f t="shared" si="1"/>
        <v>4</v>
      </c>
      <c r="C17" s="9"/>
      <c r="D17" s="9"/>
      <c r="E17" s="9"/>
      <c r="F17" s="6" t="s">
        <v>10</v>
      </c>
      <c r="G17" s="7"/>
      <c r="H17" s="7"/>
      <c r="I17" s="7"/>
      <c r="J17" s="7"/>
      <c r="K17" s="7"/>
      <c r="L17" s="7"/>
      <c r="M17" s="5"/>
      <c r="N17" s="5"/>
      <c r="O17" s="5"/>
      <c r="P17" s="5"/>
    </row>
    <row r="18">
      <c r="A18" s="7"/>
      <c r="B18" s="8">
        <f t="shared" si="1"/>
        <v>3</v>
      </c>
      <c r="C18" s="9"/>
      <c r="D18" s="9"/>
      <c r="E18" s="9"/>
      <c r="F18" s="7">
        <f>_xlfn.BINOM.DIST(5, 30, 1/6, FALSE)</f>
        <v>0.1921081311</v>
      </c>
      <c r="G18" s="7"/>
      <c r="H18" s="7"/>
      <c r="I18" s="7"/>
      <c r="J18" s="7"/>
      <c r="K18" s="7"/>
      <c r="L18" s="7"/>
      <c r="M18" s="5"/>
      <c r="N18" s="5"/>
      <c r="O18" s="5"/>
      <c r="P18" s="5"/>
    </row>
    <row r="19">
      <c r="A19" s="7"/>
      <c r="B19" s="8">
        <f t="shared" si="1"/>
        <v>3</v>
      </c>
      <c r="C19" s="9"/>
      <c r="D19" s="9"/>
      <c r="E19" s="9"/>
      <c r="F19" s="7"/>
      <c r="G19" s="7"/>
      <c r="H19" s="7"/>
      <c r="I19" s="7"/>
      <c r="J19" s="7"/>
      <c r="K19" s="7"/>
      <c r="L19" s="7"/>
      <c r="M19" s="5"/>
      <c r="N19" s="5"/>
      <c r="O19" s="5"/>
      <c r="P19" s="5"/>
    </row>
    <row r="20">
      <c r="A20" s="7"/>
      <c r="B20" s="8">
        <f t="shared" si="1"/>
        <v>1</v>
      </c>
      <c r="C20" s="9"/>
      <c r="D20" s="9"/>
      <c r="E20" s="9"/>
      <c r="F20" s="6" t="s">
        <v>11</v>
      </c>
      <c r="G20" s="7"/>
      <c r="H20" s="7"/>
      <c r="I20" s="7"/>
      <c r="J20" s="7"/>
      <c r="K20" s="7"/>
      <c r="L20" s="7"/>
      <c r="M20" s="5"/>
      <c r="N20" s="5"/>
      <c r="O20" s="5"/>
      <c r="P20" s="5"/>
    </row>
    <row r="21">
      <c r="A21" s="7"/>
      <c r="B21" s="8">
        <f t="shared" si="1"/>
        <v>5</v>
      </c>
      <c r="C21" s="9"/>
      <c r="D21" s="9"/>
      <c r="E21" s="9"/>
      <c r="F21" s="7"/>
      <c r="G21" s="7"/>
      <c r="H21" s="7"/>
      <c r="I21" s="7"/>
      <c r="J21" s="7"/>
      <c r="K21" s="7"/>
      <c r="L21" s="7"/>
      <c r="M21" s="5"/>
      <c r="N21" s="5"/>
      <c r="O21" s="5"/>
      <c r="P21" s="5"/>
    </row>
    <row r="22">
      <c r="A22" s="7"/>
      <c r="B22" s="8">
        <f t="shared" si="1"/>
        <v>4</v>
      </c>
      <c r="C22" s="9"/>
      <c r="D22" s="9"/>
      <c r="E22" s="9"/>
      <c r="F22" s="6" t="s">
        <v>12</v>
      </c>
      <c r="G22" s="7"/>
      <c r="H22" s="7"/>
      <c r="I22" s="7"/>
      <c r="J22" s="7"/>
      <c r="K22" s="7"/>
      <c r="L22" s="7"/>
      <c r="M22" s="5"/>
      <c r="N22" s="5"/>
      <c r="O22" s="5"/>
      <c r="P22" s="5"/>
    </row>
    <row r="23">
      <c r="A23" s="7"/>
      <c r="B23" s="8">
        <f t="shared" si="1"/>
        <v>6</v>
      </c>
      <c r="C23" s="9"/>
      <c r="D23" s="9"/>
      <c r="E23" s="9"/>
      <c r="F23" s="7"/>
      <c r="G23" s="7"/>
      <c r="H23" s="7"/>
      <c r="I23" s="7"/>
      <c r="J23" s="7"/>
      <c r="K23" s="7"/>
      <c r="L23" s="7"/>
      <c r="M23" s="5"/>
      <c r="N23" s="5"/>
      <c r="O23" s="5"/>
      <c r="P23" s="5"/>
    </row>
    <row r="24">
      <c r="A24" s="7"/>
      <c r="B24" s="8">
        <f t="shared" si="1"/>
        <v>5</v>
      </c>
      <c r="C24" s="9"/>
      <c r="D24" s="9"/>
      <c r="E24" s="9"/>
      <c r="F24" s="6" t="s">
        <v>13</v>
      </c>
      <c r="G24" s="7"/>
      <c r="H24" s="7"/>
      <c r="I24" s="7"/>
      <c r="J24" s="7"/>
      <c r="K24" s="7"/>
      <c r="L24" s="7"/>
      <c r="M24" s="5"/>
      <c r="N24" s="5"/>
      <c r="O24" s="5"/>
      <c r="P24" s="5"/>
    </row>
    <row r="25">
      <c r="A25" s="7"/>
      <c r="B25" s="8">
        <f t="shared" si="1"/>
        <v>1</v>
      </c>
      <c r="C25" s="9"/>
      <c r="D25" s="9"/>
      <c r="E25" s="9"/>
      <c r="F25" s="7"/>
      <c r="G25" s="7"/>
      <c r="H25" s="7"/>
      <c r="I25" s="7"/>
      <c r="J25" s="7"/>
      <c r="K25" s="7"/>
      <c r="L25" s="7"/>
      <c r="M25" s="5"/>
      <c r="N25" s="5"/>
      <c r="O25" s="5"/>
      <c r="P25" s="5"/>
    </row>
    <row r="26">
      <c r="A26" s="7"/>
      <c r="B26" s="8">
        <f t="shared" si="1"/>
        <v>2</v>
      </c>
      <c r="C26" s="9"/>
      <c r="D26" s="9"/>
      <c r="E26" s="9"/>
      <c r="F26" s="6" t="s">
        <v>14</v>
      </c>
      <c r="G26" s="7"/>
      <c r="H26" s="7"/>
      <c r="I26" s="7"/>
      <c r="J26" s="7"/>
      <c r="K26" s="7"/>
      <c r="L26" s="7"/>
      <c r="M26" s="5"/>
      <c r="N26" s="5"/>
      <c r="O26" s="5"/>
      <c r="P26" s="5"/>
    </row>
    <row r="27">
      <c r="A27" s="7"/>
      <c r="B27" s="8">
        <f t="shared" si="1"/>
        <v>3</v>
      </c>
      <c r="C27" s="9"/>
      <c r="D27" s="9"/>
      <c r="E27" s="9"/>
      <c r="F27" s="7"/>
      <c r="G27" s="7"/>
      <c r="H27" s="7"/>
      <c r="I27" s="7"/>
      <c r="J27" s="7"/>
      <c r="K27" s="7"/>
      <c r="L27" s="7"/>
      <c r="M27" s="5"/>
      <c r="N27" s="5"/>
      <c r="O27" s="5"/>
      <c r="P27" s="5"/>
    </row>
    <row r="28">
      <c r="A28" s="7"/>
      <c r="B28" s="8">
        <f t="shared" si="1"/>
        <v>1</v>
      </c>
      <c r="C28" s="9"/>
      <c r="D28" s="9"/>
      <c r="E28" s="9"/>
      <c r="F28" s="6" t="s">
        <v>15</v>
      </c>
      <c r="G28" s="7"/>
      <c r="H28" s="7"/>
      <c r="I28" s="7"/>
      <c r="J28" s="7"/>
      <c r="K28" s="7"/>
      <c r="L28" s="7"/>
      <c r="M28" s="5"/>
      <c r="N28" s="5"/>
      <c r="O28" s="5"/>
      <c r="P28" s="5"/>
    </row>
    <row r="29">
      <c r="A29" s="7"/>
      <c r="B29" s="8">
        <f t="shared" si="1"/>
        <v>5</v>
      </c>
      <c r="C29" s="9"/>
      <c r="D29" s="9"/>
      <c r="E29" s="9"/>
      <c r="F29" s="9"/>
      <c r="G29" s="7"/>
      <c r="H29" s="7"/>
      <c r="I29" s="7"/>
      <c r="J29" s="7"/>
      <c r="K29" s="7"/>
      <c r="L29" s="7"/>
      <c r="M29" s="5"/>
      <c r="N29" s="5"/>
      <c r="O29" s="5"/>
      <c r="P29" s="5"/>
    </row>
    <row r="30">
      <c r="A30" s="7"/>
      <c r="B30" s="8">
        <f t="shared" si="1"/>
        <v>5</v>
      </c>
      <c r="C30" s="9"/>
      <c r="D30" s="9"/>
      <c r="E30" s="9"/>
      <c r="F30" s="10" t="s">
        <v>16</v>
      </c>
      <c r="G30" s="11"/>
      <c r="H30" s="11"/>
      <c r="I30" s="11"/>
      <c r="J30" s="11"/>
      <c r="K30" s="11"/>
      <c r="L30" s="11"/>
      <c r="M30" s="12"/>
      <c r="N30" s="12"/>
      <c r="O30" s="12"/>
      <c r="P30" s="12"/>
      <c r="Q30" s="13"/>
      <c r="R30" s="13"/>
      <c r="S30" s="13"/>
    </row>
    <row r="31">
      <c r="A31" s="7"/>
      <c r="B31" s="8">
        <f t="shared" si="1"/>
        <v>1</v>
      </c>
      <c r="C31" s="9"/>
      <c r="D31" s="9"/>
      <c r="E31" s="9"/>
      <c r="F31" s="10" t="s">
        <v>17</v>
      </c>
      <c r="G31" s="11"/>
      <c r="H31" s="11"/>
      <c r="I31" s="11"/>
      <c r="J31" s="11"/>
      <c r="K31" s="11"/>
      <c r="L31" s="11"/>
      <c r="M31" s="13"/>
      <c r="O31" s="12"/>
      <c r="P31" s="12"/>
      <c r="Q31" s="13"/>
      <c r="R31" s="13"/>
      <c r="S31" s="13"/>
    </row>
    <row r="32">
      <c r="A32" s="7"/>
      <c r="B32" s="8">
        <f t="shared" si="1"/>
        <v>6</v>
      </c>
      <c r="C32" s="9"/>
      <c r="D32" s="9"/>
      <c r="E32" s="9"/>
      <c r="F32" s="10" t="s">
        <v>18</v>
      </c>
      <c r="G32" s="11"/>
      <c r="H32" s="11"/>
      <c r="I32" s="11"/>
      <c r="J32" s="11"/>
      <c r="K32" s="11"/>
      <c r="L32" s="11"/>
      <c r="M32" s="12"/>
      <c r="N32" s="12"/>
      <c r="O32" s="12"/>
      <c r="P32" s="12"/>
      <c r="Q32" s="13"/>
      <c r="R32" s="13"/>
      <c r="S32" s="13"/>
    </row>
    <row r="33">
      <c r="A33" s="7"/>
      <c r="B33" s="8">
        <f t="shared" si="1"/>
        <v>1</v>
      </c>
      <c r="C33" s="9"/>
      <c r="D33" s="9"/>
      <c r="E33" s="9"/>
      <c r="F33" s="11"/>
      <c r="G33" s="11"/>
      <c r="H33" s="11"/>
      <c r="I33" s="11"/>
      <c r="J33" s="11"/>
      <c r="K33" s="11"/>
      <c r="L33" s="11"/>
      <c r="M33" s="12"/>
      <c r="N33" s="12"/>
      <c r="O33" s="12"/>
      <c r="P33" s="12"/>
      <c r="Q33" s="13"/>
      <c r="R33" s="13"/>
      <c r="S33" s="13"/>
    </row>
    <row r="34">
      <c r="A34" s="7"/>
      <c r="B34" s="8">
        <f t="shared" si="1"/>
        <v>3</v>
      </c>
      <c r="C34" s="9"/>
      <c r="D34" s="9"/>
      <c r="E34" s="9"/>
      <c r="F34" s="10" t="s">
        <v>19</v>
      </c>
      <c r="G34" s="11"/>
      <c r="H34" s="11"/>
      <c r="I34" s="11"/>
      <c r="J34" s="11"/>
      <c r="K34" s="11"/>
      <c r="L34" s="11"/>
      <c r="M34" s="12"/>
      <c r="N34" s="12"/>
      <c r="O34" s="12"/>
      <c r="P34" s="12"/>
      <c r="Q34" s="13"/>
      <c r="R34" s="13"/>
      <c r="S34" s="13"/>
    </row>
    <row r="35">
      <c r="A35" s="7"/>
      <c r="B35" s="8">
        <f t="shared" si="1"/>
        <v>5</v>
      </c>
      <c r="C35" s="9"/>
      <c r="D35" s="9"/>
      <c r="E35" s="9"/>
      <c r="F35" s="11"/>
      <c r="G35" s="11"/>
      <c r="H35" s="11"/>
      <c r="I35" s="11"/>
      <c r="J35" s="11"/>
      <c r="K35" s="11"/>
      <c r="L35" s="11"/>
      <c r="M35" s="12"/>
      <c r="N35" s="12"/>
      <c r="O35" s="12"/>
      <c r="P35" s="12"/>
      <c r="Q35" s="13"/>
      <c r="R35" s="13"/>
      <c r="S35" s="13"/>
    </row>
    <row r="36">
      <c r="A36" s="7"/>
      <c r="B36" s="8">
        <f t="shared" si="1"/>
        <v>6</v>
      </c>
      <c r="C36" s="9"/>
      <c r="D36" s="9"/>
      <c r="E36" s="9"/>
      <c r="F36" s="10" t="s">
        <v>20</v>
      </c>
      <c r="G36" s="11"/>
      <c r="H36" s="11"/>
      <c r="I36" s="11"/>
      <c r="J36" s="11"/>
      <c r="K36" s="11"/>
      <c r="L36" s="11"/>
      <c r="M36" s="12"/>
      <c r="N36" s="12"/>
      <c r="O36" s="12"/>
      <c r="P36" s="12"/>
      <c r="Q36" s="13"/>
      <c r="R36" s="13"/>
      <c r="S36" s="13"/>
    </row>
    <row r="37">
      <c r="A37" s="7"/>
      <c r="B37" s="8">
        <f t="shared" si="1"/>
        <v>4</v>
      </c>
      <c r="C37" s="9"/>
      <c r="D37" s="9"/>
      <c r="E37" s="9"/>
      <c r="F37" s="11"/>
      <c r="G37" s="11"/>
      <c r="H37" s="11"/>
      <c r="I37" s="11"/>
      <c r="J37" s="11"/>
      <c r="K37" s="11"/>
      <c r="L37" s="11"/>
      <c r="M37" s="12"/>
      <c r="N37" s="12"/>
      <c r="O37" s="12"/>
      <c r="P37" s="12"/>
      <c r="Q37" s="13"/>
      <c r="R37" s="13"/>
      <c r="S37" s="13"/>
    </row>
    <row r="38">
      <c r="A38" s="7"/>
      <c r="B38" s="8">
        <f t="shared" si="1"/>
        <v>2</v>
      </c>
      <c r="C38" s="9"/>
      <c r="D38" s="9"/>
      <c r="E38" s="9"/>
      <c r="F38" s="10" t="s">
        <v>21</v>
      </c>
      <c r="G38" s="11"/>
      <c r="H38" s="11"/>
      <c r="I38" s="11"/>
      <c r="J38" s="11"/>
      <c r="K38" s="11"/>
      <c r="L38" s="11"/>
      <c r="M38" s="12"/>
      <c r="N38" s="12"/>
      <c r="O38" s="12"/>
      <c r="P38" s="12"/>
      <c r="Q38" s="13"/>
      <c r="R38" s="13"/>
      <c r="S38" s="13"/>
    </row>
    <row r="39">
      <c r="A39" s="7"/>
      <c r="B39" s="8">
        <f t="shared" si="1"/>
        <v>4</v>
      </c>
      <c r="C39" s="9"/>
      <c r="D39" s="9"/>
      <c r="E39" s="9"/>
      <c r="F39" s="14"/>
      <c r="G39" s="11"/>
      <c r="H39" s="11"/>
      <c r="I39" s="11"/>
      <c r="J39" s="11"/>
      <c r="K39" s="11"/>
      <c r="L39" s="11"/>
      <c r="M39" s="12"/>
      <c r="N39" s="12"/>
      <c r="O39" s="12"/>
      <c r="P39" s="12"/>
      <c r="Q39" s="13"/>
      <c r="R39" s="13"/>
      <c r="S39" s="13"/>
    </row>
    <row r="40">
      <c r="A40" s="7"/>
      <c r="B40" s="8">
        <f t="shared" si="1"/>
        <v>2</v>
      </c>
      <c r="C40" s="9"/>
      <c r="D40" s="9"/>
      <c r="E40" s="9"/>
      <c r="F40" s="14"/>
      <c r="G40" s="11"/>
      <c r="H40" s="11"/>
      <c r="I40" s="11"/>
      <c r="J40" s="11"/>
      <c r="K40" s="11"/>
      <c r="L40" s="11"/>
      <c r="M40" s="12"/>
      <c r="N40" s="12"/>
      <c r="O40" s="12"/>
      <c r="P40" s="12"/>
      <c r="Q40" s="13"/>
      <c r="R40" s="13"/>
      <c r="S40" s="13"/>
    </row>
    <row r="41">
      <c r="A41" s="5"/>
      <c r="B41" s="15"/>
      <c r="C41" s="5"/>
      <c r="D41" s="5"/>
      <c r="E41" s="5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3"/>
      <c r="R41" s="13"/>
      <c r="S41" s="13"/>
    </row>
    <row r="42">
      <c r="A42" s="5"/>
      <c r="B42" s="1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>
      <c r="B43" s="16"/>
    </row>
    <row r="44">
      <c r="B44" s="16"/>
    </row>
    <row r="45">
      <c r="B45" s="16"/>
    </row>
    <row r="46">
      <c r="B46" s="16"/>
    </row>
    <row r="47">
      <c r="B47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7" t="s">
        <v>22</v>
      </c>
      <c r="B2" s="17" t="s">
        <v>23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9"/>
      <c r="U2" s="20"/>
      <c r="V2" s="20"/>
      <c r="W2" s="20"/>
      <c r="X2" s="20"/>
      <c r="Y2" s="20"/>
      <c r="Z2" s="20"/>
    </row>
    <row r="3">
      <c r="A3" s="18"/>
      <c r="B3" s="17" t="s">
        <v>24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9"/>
      <c r="U3" s="20"/>
      <c r="V3" s="20"/>
      <c r="W3" s="20"/>
      <c r="X3" s="20"/>
      <c r="Y3" s="20"/>
      <c r="Z3" s="20"/>
    </row>
    <row r="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19"/>
      <c r="O4" s="19"/>
      <c r="P4" s="19"/>
      <c r="Q4" s="19"/>
      <c r="R4" s="19"/>
      <c r="S4" s="19"/>
      <c r="T4" s="19"/>
      <c r="U4" s="20"/>
      <c r="V4" s="20"/>
      <c r="W4" s="20"/>
      <c r="X4" s="20"/>
      <c r="Y4" s="20"/>
      <c r="Z4" s="20"/>
    </row>
    <row r="5">
      <c r="A5" s="22" t="s">
        <v>4</v>
      </c>
      <c r="B5" s="22" t="s">
        <v>25</v>
      </c>
      <c r="C5" s="23"/>
      <c r="D5" s="23"/>
      <c r="E5" s="23"/>
      <c r="F5" s="23"/>
      <c r="G5" s="23"/>
      <c r="H5" s="22" t="s">
        <v>26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19"/>
      <c r="U5" s="20"/>
      <c r="V5" s="20"/>
      <c r="W5" s="20"/>
      <c r="X5" s="20"/>
      <c r="Y5" s="20"/>
      <c r="Z5" s="20"/>
    </row>
    <row r="6">
      <c r="A6" s="23"/>
      <c r="B6" s="22" t="s">
        <v>27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19"/>
      <c r="U6" s="20"/>
      <c r="V6" s="20"/>
      <c r="W6" s="20"/>
      <c r="X6" s="20"/>
      <c r="Y6" s="20"/>
      <c r="Z6" s="20"/>
    </row>
    <row r="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19"/>
      <c r="U7" s="20"/>
      <c r="V7" s="20"/>
      <c r="W7" s="20"/>
      <c r="X7" s="20"/>
      <c r="Y7" s="20"/>
      <c r="Z7" s="20"/>
    </row>
    <row r="8">
      <c r="A8" s="23"/>
      <c r="B8" s="22" t="s">
        <v>28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19"/>
      <c r="U8" s="20"/>
      <c r="V8" s="20"/>
      <c r="W8" s="20"/>
      <c r="X8" s="20"/>
      <c r="Y8" s="20"/>
      <c r="Z8" s="20"/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19"/>
      <c r="U9" s="20"/>
      <c r="V9" s="20"/>
      <c r="W9" s="20"/>
      <c r="X9" s="20"/>
      <c r="Y9" s="20"/>
      <c r="Z9" s="20"/>
    </row>
    <row r="10">
      <c r="A10" s="23"/>
      <c r="B10" s="23">
        <f t="shared" ref="B10:B110" si="1">RAND()</f>
        <v>0.08062459029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19"/>
      <c r="U10" s="20"/>
      <c r="V10" s="20"/>
      <c r="W10" s="20"/>
      <c r="X10" s="20"/>
      <c r="Y10" s="20"/>
      <c r="Z10" s="20"/>
    </row>
    <row r="11">
      <c r="A11" s="23"/>
      <c r="B11" s="23">
        <f t="shared" si="1"/>
        <v>0.1857957585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19"/>
      <c r="U11" s="20"/>
      <c r="V11" s="20"/>
      <c r="W11" s="20"/>
      <c r="X11" s="20"/>
      <c r="Y11" s="20"/>
      <c r="Z11" s="20"/>
    </row>
    <row r="12">
      <c r="A12" s="23"/>
      <c r="B12" s="23">
        <f t="shared" si="1"/>
        <v>0.78845314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19"/>
      <c r="U12" s="20"/>
      <c r="V12" s="20"/>
      <c r="W12" s="20"/>
      <c r="X12" s="20"/>
      <c r="Y12" s="20"/>
      <c r="Z12" s="20"/>
    </row>
    <row r="13">
      <c r="A13" s="23"/>
      <c r="B13" s="23">
        <f t="shared" si="1"/>
        <v>0.1095047515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19"/>
      <c r="U13" s="20"/>
      <c r="V13" s="20"/>
      <c r="W13" s="20"/>
      <c r="X13" s="20"/>
      <c r="Y13" s="20"/>
      <c r="Z13" s="20"/>
    </row>
    <row r="14">
      <c r="A14" s="23"/>
      <c r="B14" s="23">
        <f t="shared" si="1"/>
        <v>0.7742962848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19"/>
      <c r="U14" s="20"/>
      <c r="V14" s="20"/>
      <c r="W14" s="20"/>
      <c r="X14" s="20"/>
      <c r="Y14" s="20"/>
      <c r="Z14" s="20"/>
    </row>
    <row r="15">
      <c r="A15" s="23"/>
      <c r="B15" s="23">
        <f t="shared" si="1"/>
        <v>0.3377413973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19"/>
      <c r="U15" s="20"/>
      <c r="V15" s="20"/>
      <c r="W15" s="20"/>
      <c r="X15" s="20"/>
      <c r="Y15" s="20"/>
      <c r="Z15" s="20"/>
    </row>
    <row r="16">
      <c r="A16" s="23"/>
      <c r="B16" s="23">
        <f t="shared" si="1"/>
        <v>0.6888549312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19"/>
      <c r="U16" s="20"/>
      <c r="V16" s="20"/>
      <c r="W16" s="20"/>
      <c r="X16" s="20"/>
      <c r="Y16" s="20"/>
      <c r="Z16" s="20"/>
    </row>
    <row r="17">
      <c r="A17" s="23"/>
      <c r="B17" s="23">
        <f t="shared" si="1"/>
        <v>0.743430813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19"/>
      <c r="U17" s="20"/>
      <c r="V17" s="20"/>
      <c r="W17" s="20"/>
      <c r="X17" s="20"/>
      <c r="Y17" s="20"/>
      <c r="Z17" s="20"/>
    </row>
    <row r="18">
      <c r="A18" s="23"/>
      <c r="B18" s="23">
        <f t="shared" si="1"/>
        <v>0.1079345125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19"/>
      <c r="U18" s="20"/>
      <c r="V18" s="20"/>
      <c r="W18" s="20"/>
      <c r="X18" s="20"/>
      <c r="Y18" s="20"/>
      <c r="Z18" s="20"/>
    </row>
    <row r="19">
      <c r="A19" s="23"/>
      <c r="B19" s="23">
        <f t="shared" si="1"/>
        <v>0.7016840408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19"/>
      <c r="U19" s="20"/>
      <c r="V19" s="20"/>
      <c r="W19" s="20"/>
      <c r="X19" s="20"/>
      <c r="Y19" s="20"/>
      <c r="Z19" s="20"/>
    </row>
    <row r="20">
      <c r="A20" s="23"/>
      <c r="B20" s="23">
        <f t="shared" si="1"/>
        <v>0.4638796568</v>
      </c>
      <c r="C20" s="23"/>
      <c r="D20" s="23"/>
      <c r="E20" s="23"/>
      <c r="F20" s="23"/>
      <c r="G20" s="23"/>
      <c r="H20" s="22" t="s">
        <v>29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19"/>
      <c r="U20" s="20"/>
      <c r="V20" s="20"/>
      <c r="W20" s="20"/>
      <c r="X20" s="20"/>
      <c r="Y20" s="20"/>
      <c r="Z20" s="20"/>
    </row>
    <row r="21">
      <c r="A21" s="23"/>
      <c r="B21" s="23">
        <f t="shared" si="1"/>
        <v>0.7204255293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19"/>
      <c r="U21" s="20"/>
      <c r="V21" s="20"/>
      <c r="W21" s="20"/>
      <c r="X21" s="20"/>
      <c r="Y21" s="20"/>
      <c r="Z21" s="20"/>
    </row>
    <row r="22">
      <c r="A22" s="23"/>
      <c r="B22" s="23">
        <f t="shared" si="1"/>
        <v>0.1972848143</v>
      </c>
      <c r="C22" s="23"/>
      <c r="D22" s="23"/>
      <c r="E22" s="23"/>
      <c r="F22" s="23"/>
      <c r="G22" s="23"/>
      <c r="H22" s="22" t="s">
        <v>30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19"/>
      <c r="U22" s="20"/>
      <c r="V22" s="20"/>
      <c r="W22" s="20"/>
      <c r="X22" s="20"/>
      <c r="Y22" s="20"/>
      <c r="Z22" s="20"/>
    </row>
    <row r="23">
      <c r="A23" s="23"/>
      <c r="B23" s="23">
        <f t="shared" si="1"/>
        <v>0.3255042817</v>
      </c>
      <c r="C23" s="23"/>
      <c r="D23" s="23"/>
      <c r="E23" s="23"/>
      <c r="F23" s="23"/>
      <c r="G23" s="23"/>
      <c r="H23" s="22" t="s">
        <v>31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19"/>
      <c r="U23" s="20"/>
      <c r="V23" s="20"/>
      <c r="W23" s="20"/>
      <c r="X23" s="20"/>
      <c r="Y23" s="20"/>
      <c r="Z23" s="20"/>
    </row>
    <row r="24">
      <c r="A24" s="23"/>
      <c r="B24" s="23">
        <f t="shared" si="1"/>
        <v>0.07607810394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19"/>
      <c r="U24" s="20"/>
      <c r="V24" s="20"/>
      <c r="W24" s="20"/>
      <c r="X24" s="20"/>
      <c r="Y24" s="20"/>
      <c r="Z24" s="20"/>
    </row>
    <row r="25">
      <c r="A25" s="23"/>
      <c r="B25" s="23">
        <f t="shared" si="1"/>
        <v>0.7139614935</v>
      </c>
      <c r="C25" s="23"/>
      <c r="D25" s="23"/>
      <c r="E25" s="23"/>
      <c r="F25" s="23"/>
      <c r="G25" s="23"/>
      <c r="H25" s="22" t="s">
        <v>32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19"/>
      <c r="U25" s="20"/>
      <c r="V25" s="20"/>
      <c r="W25" s="20"/>
      <c r="X25" s="20"/>
      <c r="Y25" s="20"/>
      <c r="Z25" s="20"/>
    </row>
    <row r="26">
      <c r="A26" s="23"/>
      <c r="B26" s="23">
        <f t="shared" si="1"/>
        <v>0.1207020442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19"/>
      <c r="U26" s="20"/>
      <c r="V26" s="20"/>
      <c r="W26" s="20"/>
      <c r="X26" s="20"/>
      <c r="Y26" s="20"/>
      <c r="Z26" s="20"/>
    </row>
    <row r="27">
      <c r="A27" s="23"/>
      <c r="B27" s="23">
        <f t="shared" si="1"/>
        <v>0.8743887082</v>
      </c>
      <c r="C27" s="23"/>
      <c r="D27" s="23"/>
      <c r="E27" s="23"/>
      <c r="F27" s="23"/>
      <c r="G27" s="23"/>
      <c r="H27" s="22" t="s">
        <v>33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19"/>
      <c r="U27" s="20"/>
      <c r="V27" s="20"/>
      <c r="W27" s="20"/>
      <c r="X27" s="20"/>
      <c r="Y27" s="20"/>
      <c r="Z27" s="20"/>
    </row>
    <row r="28">
      <c r="A28" s="23"/>
      <c r="B28" s="23">
        <f t="shared" si="1"/>
        <v>0.2940742391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19"/>
      <c r="U28" s="20"/>
      <c r="V28" s="20"/>
      <c r="W28" s="20"/>
      <c r="X28" s="20"/>
      <c r="Y28" s="20"/>
      <c r="Z28" s="20"/>
    </row>
    <row r="29">
      <c r="A29" s="23"/>
      <c r="B29" s="23">
        <f t="shared" si="1"/>
        <v>0.5647355588</v>
      </c>
      <c r="C29" s="23"/>
      <c r="D29" s="23"/>
      <c r="E29" s="23"/>
      <c r="F29" s="23"/>
      <c r="G29" s="23"/>
      <c r="H29" s="22" t="s">
        <v>34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19"/>
      <c r="U29" s="20"/>
      <c r="V29" s="20"/>
      <c r="W29" s="20"/>
      <c r="X29" s="20"/>
      <c r="Y29" s="20"/>
      <c r="Z29" s="20"/>
    </row>
    <row r="30">
      <c r="A30" s="23"/>
      <c r="B30" s="23">
        <f t="shared" si="1"/>
        <v>0.7634983944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19"/>
      <c r="U30" s="20"/>
      <c r="V30" s="20"/>
      <c r="W30" s="20"/>
      <c r="X30" s="20"/>
      <c r="Y30" s="20"/>
      <c r="Z30" s="20"/>
    </row>
    <row r="31">
      <c r="A31" s="23"/>
      <c r="B31" s="23">
        <f t="shared" si="1"/>
        <v>0.7560239217</v>
      </c>
      <c r="C31" s="23"/>
      <c r="D31" s="23"/>
      <c r="E31" s="23"/>
      <c r="F31" s="23"/>
      <c r="G31" s="23"/>
      <c r="H31" s="22" t="s">
        <v>35</v>
      </c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19"/>
      <c r="U31" s="20"/>
      <c r="V31" s="20"/>
      <c r="W31" s="20"/>
      <c r="X31" s="20"/>
      <c r="Y31" s="20"/>
      <c r="Z31" s="20"/>
    </row>
    <row r="32">
      <c r="A32" s="23"/>
      <c r="B32" s="23">
        <f t="shared" si="1"/>
        <v>0.7720306126</v>
      </c>
      <c r="C32" s="23"/>
      <c r="D32" s="23"/>
      <c r="E32" s="23"/>
      <c r="F32" s="23"/>
      <c r="G32" s="23"/>
      <c r="H32" s="23"/>
      <c r="I32" s="22" t="s">
        <v>36</v>
      </c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19"/>
      <c r="U32" s="20"/>
      <c r="V32" s="20"/>
      <c r="W32" s="20"/>
      <c r="X32" s="20"/>
      <c r="Y32" s="20"/>
      <c r="Z32" s="20"/>
    </row>
    <row r="33">
      <c r="A33" s="23"/>
      <c r="B33" s="23">
        <f t="shared" si="1"/>
        <v>0.9938283355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19"/>
      <c r="U33" s="20"/>
      <c r="V33" s="20"/>
      <c r="W33" s="20"/>
      <c r="X33" s="20"/>
      <c r="Y33" s="20"/>
      <c r="Z33" s="20"/>
    </row>
    <row r="34">
      <c r="A34" s="23"/>
      <c r="B34" s="23">
        <f t="shared" si="1"/>
        <v>0.825435584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19"/>
      <c r="U34" s="20"/>
      <c r="V34" s="20"/>
      <c r="W34" s="20"/>
      <c r="X34" s="20"/>
      <c r="Y34" s="20"/>
      <c r="Z34" s="20"/>
    </row>
    <row r="35">
      <c r="A35" s="23"/>
      <c r="B35" s="23">
        <f t="shared" si="1"/>
        <v>0.02484802098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19"/>
      <c r="U35" s="20"/>
      <c r="V35" s="20"/>
      <c r="W35" s="20"/>
      <c r="X35" s="20"/>
      <c r="Y35" s="20"/>
      <c r="Z35" s="20"/>
    </row>
    <row r="36">
      <c r="A36" s="23"/>
      <c r="B36" s="23">
        <f t="shared" si="1"/>
        <v>0.3173587484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19"/>
      <c r="U36" s="20"/>
      <c r="V36" s="20"/>
      <c r="W36" s="20"/>
      <c r="X36" s="20"/>
      <c r="Y36" s="20"/>
      <c r="Z36" s="20"/>
    </row>
    <row r="37">
      <c r="A37" s="23"/>
      <c r="B37" s="23">
        <f t="shared" si="1"/>
        <v>0.9883079797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19"/>
      <c r="U37" s="20"/>
      <c r="V37" s="20"/>
      <c r="W37" s="20"/>
      <c r="X37" s="20"/>
      <c r="Y37" s="20"/>
      <c r="Z37" s="20"/>
    </row>
    <row r="38">
      <c r="A38" s="23"/>
      <c r="B38" s="23">
        <f t="shared" si="1"/>
        <v>0.8923927635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19"/>
      <c r="U38" s="20"/>
      <c r="V38" s="20"/>
      <c r="W38" s="20"/>
      <c r="X38" s="20"/>
      <c r="Y38" s="20"/>
      <c r="Z38" s="20"/>
    </row>
    <row r="39">
      <c r="A39" s="23"/>
      <c r="B39" s="23">
        <f t="shared" si="1"/>
        <v>0.3142914419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19"/>
      <c r="U39" s="20"/>
      <c r="V39" s="20"/>
      <c r="W39" s="20"/>
      <c r="X39" s="20"/>
      <c r="Y39" s="20"/>
      <c r="Z39" s="20"/>
    </row>
    <row r="40">
      <c r="A40" s="23"/>
      <c r="B40" s="23">
        <f t="shared" si="1"/>
        <v>0.7501472924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19"/>
      <c r="U40" s="20"/>
      <c r="V40" s="20"/>
      <c r="W40" s="20"/>
      <c r="X40" s="20"/>
      <c r="Y40" s="20"/>
      <c r="Z40" s="20"/>
    </row>
    <row r="41">
      <c r="A41" s="23"/>
      <c r="B41" s="23">
        <f t="shared" si="1"/>
        <v>0.1145579013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19"/>
      <c r="U41" s="20"/>
      <c r="V41" s="20"/>
      <c r="W41" s="20"/>
      <c r="X41" s="20"/>
      <c r="Y41" s="20"/>
      <c r="Z41" s="20"/>
    </row>
    <row r="42">
      <c r="A42" s="23"/>
      <c r="B42" s="23">
        <f t="shared" si="1"/>
        <v>0.8921866612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19"/>
      <c r="U42" s="20"/>
      <c r="V42" s="20"/>
      <c r="W42" s="20"/>
      <c r="X42" s="20"/>
      <c r="Y42" s="20"/>
      <c r="Z42" s="20"/>
    </row>
    <row r="43">
      <c r="A43" s="23"/>
      <c r="B43" s="23">
        <f t="shared" si="1"/>
        <v>0.5351969242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19"/>
      <c r="U43" s="20"/>
      <c r="V43" s="20"/>
      <c r="W43" s="20"/>
      <c r="X43" s="20"/>
      <c r="Y43" s="20"/>
      <c r="Z43" s="20"/>
    </row>
    <row r="44">
      <c r="A44" s="23"/>
      <c r="B44" s="23">
        <f t="shared" si="1"/>
        <v>0.6298509095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19"/>
      <c r="U44" s="20"/>
      <c r="V44" s="20"/>
      <c r="W44" s="20"/>
      <c r="X44" s="20"/>
      <c r="Y44" s="20"/>
      <c r="Z44" s="20"/>
    </row>
    <row r="45">
      <c r="A45" s="23"/>
      <c r="B45" s="23">
        <f t="shared" si="1"/>
        <v>0.08199066131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19"/>
      <c r="U45" s="20"/>
      <c r="V45" s="20"/>
      <c r="W45" s="20"/>
      <c r="X45" s="20"/>
      <c r="Y45" s="20"/>
      <c r="Z45" s="20"/>
    </row>
    <row r="46">
      <c r="A46" s="23"/>
      <c r="B46" s="23">
        <f t="shared" si="1"/>
        <v>0.8297163768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19"/>
      <c r="U46" s="20"/>
      <c r="V46" s="20"/>
      <c r="W46" s="20"/>
      <c r="X46" s="20"/>
      <c r="Y46" s="20"/>
      <c r="Z46" s="20"/>
    </row>
    <row r="47">
      <c r="A47" s="23"/>
      <c r="B47" s="23">
        <f t="shared" si="1"/>
        <v>0.974116104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19"/>
      <c r="U47" s="20"/>
      <c r="V47" s="20"/>
      <c r="W47" s="20"/>
      <c r="X47" s="20"/>
      <c r="Y47" s="20"/>
      <c r="Z47" s="20"/>
    </row>
    <row r="48">
      <c r="A48" s="23"/>
      <c r="B48" s="23">
        <f t="shared" si="1"/>
        <v>0.6531039023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19"/>
      <c r="U48" s="20"/>
      <c r="V48" s="20"/>
      <c r="W48" s="20"/>
      <c r="X48" s="20"/>
      <c r="Y48" s="20"/>
      <c r="Z48" s="20"/>
    </row>
    <row r="49">
      <c r="A49" s="23"/>
      <c r="B49" s="23">
        <f t="shared" si="1"/>
        <v>0.8534434217</v>
      </c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19"/>
      <c r="U49" s="20"/>
      <c r="V49" s="20"/>
      <c r="W49" s="20"/>
      <c r="X49" s="20"/>
      <c r="Y49" s="20"/>
      <c r="Z49" s="20"/>
    </row>
    <row r="50">
      <c r="A50" s="23"/>
      <c r="B50" s="23">
        <f t="shared" si="1"/>
        <v>0.4280501593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19"/>
      <c r="U50" s="20"/>
      <c r="V50" s="20"/>
      <c r="W50" s="20"/>
      <c r="X50" s="20"/>
      <c r="Y50" s="20"/>
      <c r="Z50" s="20"/>
    </row>
    <row r="51">
      <c r="A51" s="23"/>
      <c r="B51" s="23">
        <f t="shared" si="1"/>
        <v>0.7269379435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19"/>
      <c r="U51" s="20"/>
      <c r="V51" s="20"/>
      <c r="W51" s="20"/>
      <c r="X51" s="20"/>
      <c r="Y51" s="20"/>
      <c r="Z51" s="20"/>
    </row>
    <row r="52">
      <c r="A52" s="23"/>
      <c r="B52" s="23">
        <f t="shared" si="1"/>
        <v>0.711091775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19"/>
      <c r="U52" s="20"/>
      <c r="V52" s="20"/>
      <c r="W52" s="20"/>
      <c r="X52" s="20"/>
      <c r="Y52" s="20"/>
      <c r="Z52" s="20"/>
    </row>
    <row r="53">
      <c r="A53" s="23"/>
      <c r="B53" s="23">
        <f t="shared" si="1"/>
        <v>0.4784325172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19"/>
      <c r="U53" s="20"/>
      <c r="V53" s="20"/>
      <c r="W53" s="20"/>
      <c r="X53" s="20"/>
      <c r="Y53" s="20"/>
      <c r="Z53" s="20"/>
    </row>
    <row r="54">
      <c r="A54" s="23"/>
      <c r="B54" s="23">
        <f t="shared" si="1"/>
        <v>0.1897667452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19"/>
      <c r="U54" s="20"/>
      <c r="V54" s="20"/>
      <c r="W54" s="20"/>
      <c r="X54" s="20"/>
      <c r="Y54" s="20"/>
      <c r="Z54" s="20"/>
    </row>
    <row r="55">
      <c r="A55" s="23"/>
      <c r="B55" s="23">
        <f t="shared" si="1"/>
        <v>0.1113122548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19"/>
      <c r="U55" s="20"/>
      <c r="V55" s="20"/>
      <c r="W55" s="20"/>
      <c r="X55" s="20"/>
      <c r="Y55" s="20"/>
      <c r="Z55" s="20"/>
    </row>
    <row r="56">
      <c r="A56" s="23"/>
      <c r="B56" s="23">
        <f t="shared" si="1"/>
        <v>0.4357356808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19"/>
      <c r="U56" s="20"/>
      <c r="V56" s="20"/>
      <c r="W56" s="20"/>
      <c r="X56" s="20"/>
      <c r="Y56" s="20"/>
      <c r="Z56" s="20"/>
    </row>
    <row r="57">
      <c r="A57" s="23"/>
      <c r="B57" s="23">
        <f t="shared" si="1"/>
        <v>0.6115784874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19"/>
      <c r="U57" s="20"/>
      <c r="V57" s="20"/>
      <c r="W57" s="20"/>
      <c r="X57" s="20"/>
      <c r="Y57" s="20"/>
      <c r="Z57" s="20"/>
    </row>
    <row r="58">
      <c r="A58" s="23"/>
      <c r="B58" s="23">
        <f t="shared" si="1"/>
        <v>0.4368096579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19"/>
      <c r="U58" s="20"/>
      <c r="V58" s="20"/>
      <c r="W58" s="20"/>
      <c r="X58" s="20"/>
      <c r="Y58" s="20"/>
      <c r="Z58" s="20"/>
    </row>
    <row r="59">
      <c r="A59" s="23"/>
      <c r="B59" s="23">
        <f t="shared" si="1"/>
        <v>0.8155892395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19"/>
      <c r="U59" s="20"/>
      <c r="V59" s="20"/>
      <c r="W59" s="20"/>
      <c r="X59" s="20"/>
      <c r="Y59" s="20"/>
      <c r="Z59" s="20"/>
    </row>
    <row r="60">
      <c r="A60" s="23"/>
      <c r="B60" s="23">
        <f t="shared" si="1"/>
        <v>0.5610133442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19"/>
      <c r="U60" s="20"/>
      <c r="V60" s="20"/>
      <c r="W60" s="20"/>
      <c r="X60" s="20"/>
      <c r="Y60" s="20"/>
      <c r="Z60" s="20"/>
    </row>
    <row r="61">
      <c r="A61" s="23"/>
      <c r="B61" s="23">
        <f t="shared" si="1"/>
        <v>0.3708946922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19"/>
      <c r="U61" s="20"/>
      <c r="V61" s="20"/>
      <c r="W61" s="20"/>
      <c r="X61" s="20"/>
      <c r="Y61" s="20"/>
      <c r="Z61" s="20"/>
    </row>
    <row r="62">
      <c r="A62" s="23"/>
      <c r="B62" s="23">
        <f t="shared" si="1"/>
        <v>0.08730744127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19"/>
      <c r="U62" s="20"/>
      <c r="V62" s="20"/>
      <c r="W62" s="20"/>
      <c r="X62" s="20"/>
      <c r="Y62" s="20"/>
      <c r="Z62" s="20"/>
    </row>
    <row r="63">
      <c r="A63" s="23"/>
      <c r="B63" s="23">
        <f t="shared" si="1"/>
        <v>0.06250374982</v>
      </c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19"/>
      <c r="U63" s="20"/>
      <c r="V63" s="20"/>
      <c r="W63" s="20"/>
      <c r="X63" s="20"/>
      <c r="Y63" s="20"/>
      <c r="Z63" s="20"/>
    </row>
    <row r="64">
      <c r="A64" s="23"/>
      <c r="B64" s="23">
        <f t="shared" si="1"/>
        <v>0.5790619613</v>
      </c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19"/>
      <c r="U64" s="20"/>
      <c r="V64" s="20"/>
      <c r="W64" s="20"/>
      <c r="X64" s="20"/>
      <c r="Y64" s="20"/>
      <c r="Z64" s="20"/>
    </row>
    <row r="65">
      <c r="A65" s="23"/>
      <c r="B65" s="23">
        <f t="shared" si="1"/>
        <v>0.7892661715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19"/>
      <c r="U65" s="20"/>
      <c r="V65" s="20"/>
      <c r="W65" s="20"/>
      <c r="X65" s="20"/>
      <c r="Y65" s="20"/>
      <c r="Z65" s="20"/>
    </row>
    <row r="66">
      <c r="A66" s="23"/>
      <c r="B66" s="23">
        <f t="shared" si="1"/>
        <v>0.284258908</v>
      </c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19"/>
      <c r="U66" s="20"/>
      <c r="V66" s="20"/>
      <c r="W66" s="20"/>
      <c r="X66" s="20"/>
      <c r="Y66" s="20"/>
      <c r="Z66" s="20"/>
    </row>
    <row r="67">
      <c r="A67" s="23"/>
      <c r="B67" s="23">
        <f t="shared" si="1"/>
        <v>0.992590917</v>
      </c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19"/>
      <c r="U67" s="20"/>
      <c r="V67" s="20"/>
      <c r="W67" s="20"/>
      <c r="X67" s="20"/>
      <c r="Y67" s="20"/>
      <c r="Z67" s="20"/>
    </row>
    <row r="68">
      <c r="A68" s="23"/>
      <c r="B68" s="23">
        <f t="shared" si="1"/>
        <v>0.9802777697</v>
      </c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19"/>
      <c r="U68" s="20"/>
      <c r="V68" s="20"/>
      <c r="W68" s="20"/>
      <c r="X68" s="20"/>
      <c r="Y68" s="20"/>
      <c r="Z68" s="20"/>
    </row>
    <row r="69">
      <c r="A69" s="23"/>
      <c r="B69" s="23">
        <f t="shared" si="1"/>
        <v>0.6173279933</v>
      </c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19"/>
      <c r="U69" s="20"/>
      <c r="V69" s="20"/>
      <c r="W69" s="20"/>
      <c r="X69" s="20"/>
      <c r="Y69" s="20"/>
      <c r="Z69" s="20"/>
    </row>
    <row r="70">
      <c r="A70" s="23"/>
      <c r="B70" s="23">
        <f t="shared" si="1"/>
        <v>0.5036769808</v>
      </c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19"/>
      <c r="U70" s="20"/>
      <c r="V70" s="20"/>
      <c r="W70" s="20"/>
      <c r="X70" s="20"/>
      <c r="Y70" s="20"/>
      <c r="Z70" s="20"/>
    </row>
    <row r="71">
      <c r="A71" s="23"/>
      <c r="B71" s="23">
        <f t="shared" si="1"/>
        <v>0.8053274402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19"/>
      <c r="U71" s="20"/>
      <c r="V71" s="20"/>
      <c r="W71" s="20"/>
      <c r="X71" s="20"/>
      <c r="Y71" s="20"/>
      <c r="Z71" s="20"/>
    </row>
    <row r="72">
      <c r="A72" s="23"/>
      <c r="B72" s="23">
        <f t="shared" si="1"/>
        <v>0.832447806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19"/>
      <c r="U72" s="20"/>
      <c r="V72" s="20"/>
      <c r="W72" s="20"/>
      <c r="X72" s="20"/>
      <c r="Y72" s="20"/>
      <c r="Z72" s="20"/>
    </row>
    <row r="73">
      <c r="A73" s="23"/>
      <c r="B73" s="23">
        <f t="shared" si="1"/>
        <v>0.6470849116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19"/>
      <c r="U73" s="20"/>
      <c r="V73" s="20"/>
      <c r="W73" s="20"/>
      <c r="X73" s="20"/>
      <c r="Y73" s="20"/>
      <c r="Z73" s="20"/>
    </row>
    <row r="74">
      <c r="A74" s="23"/>
      <c r="B74" s="23">
        <f t="shared" si="1"/>
        <v>0.4387309197</v>
      </c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19"/>
      <c r="U74" s="20"/>
      <c r="V74" s="20"/>
      <c r="W74" s="20"/>
      <c r="X74" s="20"/>
      <c r="Y74" s="20"/>
      <c r="Z74" s="20"/>
    </row>
    <row r="75">
      <c r="A75" s="23"/>
      <c r="B75" s="23">
        <f t="shared" si="1"/>
        <v>0.9352508779</v>
      </c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19"/>
      <c r="U75" s="20"/>
      <c r="V75" s="20"/>
      <c r="W75" s="20"/>
      <c r="X75" s="20"/>
      <c r="Y75" s="20"/>
      <c r="Z75" s="20"/>
    </row>
    <row r="76">
      <c r="A76" s="23"/>
      <c r="B76" s="23">
        <f t="shared" si="1"/>
        <v>0.5760194969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19"/>
      <c r="U76" s="20"/>
      <c r="V76" s="20"/>
      <c r="W76" s="20"/>
      <c r="X76" s="20"/>
      <c r="Y76" s="20"/>
      <c r="Z76" s="20"/>
    </row>
    <row r="77">
      <c r="A77" s="23"/>
      <c r="B77" s="23">
        <f t="shared" si="1"/>
        <v>0.04299753719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19"/>
      <c r="U77" s="20"/>
      <c r="V77" s="20"/>
      <c r="W77" s="20"/>
      <c r="X77" s="20"/>
      <c r="Y77" s="20"/>
      <c r="Z77" s="20"/>
    </row>
    <row r="78">
      <c r="A78" s="23"/>
      <c r="B78" s="23">
        <f t="shared" si="1"/>
        <v>0.7816209421</v>
      </c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19"/>
      <c r="U78" s="20"/>
      <c r="V78" s="20"/>
      <c r="W78" s="20"/>
      <c r="X78" s="20"/>
      <c r="Y78" s="20"/>
      <c r="Z78" s="20"/>
    </row>
    <row r="79">
      <c r="A79" s="23"/>
      <c r="B79" s="23">
        <f t="shared" si="1"/>
        <v>0.6858167468</v>
      </c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19"/>
      <c r="U79" s="20"/>
      <c r="V79" s="20"/>
      <c r="W79" s="20"/>
      <c r="X79" s="20"/>
      <c r="Y79" s="20"/>
      <c r="Z79" s="20"/>
    </row>
    <row r="80">
      <c r="A80" s="23"/>
      <c r="B80" s="23">
        <f t="shared" si="1"/>
        <v>0.6909342877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19"/>
      <c r="U80" s="20"/>
      <c r="V80" s="20"/>
      <c r="W80" s="20"/>
      <c r="X80" s="20"/>
      <c r="Y80" s="20"/>
      <c r="Z80" s="20"/>
    </row>
    <row r="81">
      <c r="A81" s="23"/>
      <c r="B81" s="23">
        <f t="shared" si="1"/>
        <v>0.3908922888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19"/>
      <c r="U81" s="20"/>
      <c r="V81" s="20"/>
      <c r="W81" s="20"/>
      <c r="X81" s="20"/>
      <c r="Y81" s="20"/>
      <c r="Z81" s="20"/>
    </row>
    <row r="82">
      <c r="A82" s="23"/>
      <c r="B82" s="23">
        <f t="shared" si="1"/>
        <v>0.006365816721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19"/>
      <c r="U82" s="20"/>
      <c r="V82" s="20"/>
      <c r="W82" s="20"/>
      <c r="X82" s="20"/>
      <c r="Y82" s="20"/>
      <c r="Z82" s="20"/>
    </row>
    <row r="83">
      <c r="A83" s="23"/>
      <c r="B83" s="23">
        <f t="shared" si="1"/>
        <v>0.295511501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19"/>
      <c r="U83" s="20"/>
      <c r="V83" s="20"/>
      <c r="W83" s="20"/>
      <c r="X83" s="20"/>
      <c r="Y83" s="20"/>
      <c r="Z83" s="20"/>
    </row>
    <row r="84">
      <c r="A84" s="23"/>
      <c r="B84" s="23">
        <f t="shared" si="1"/>
        <v>0.325021359</v>
      </c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19"/>
      <c r="U84" s="20"/>
      <c r="V84" s="20"/>
      <c r="W84" s="20"/>
      <c r="X84" s="20"/>
      <c r="Y84" s="20"/>
      <c r="Z84" s="20"/>
    </row>
    <row r="85">
      <c r="A85" s="23"/>
      <c r="B85" s="23">
        <f t="shared" si="1"/>
        <v>0.3049360353</v>
      </c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19"/>
      <c r="U85" s="20"/>
      <c r="V85" s="20"/>
      <c r="W85" s="20"/>
      <c r="X85" s="20"/>
      <c r="Y85" s="20"/>
      <c r="Z85" s="20"/>
    </row>
    <row r="86">
      <c r="A86" s="23"/>
      <c r="B86" s="23">
        <f t="shared" si="1"/>
        <v>0.3933782267</v>
      </c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19"/>
      <c r="U86" s="20"/>
      <c r="V86" s="20"/>
      <c r="W86" s="20"/>
      <c r="X86" s="20"/>
      <c r="Y86" s="20"/>
      <c r="Z86" s="20"/>
    </row>
    <row r="87">
      <c r="A87" s="23"/>
      <c r="B87" s="23">
        <f t="shared" si="1"/>
        <v>0.3687467842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19"/>
      <c r="U87" s="20"/>
      <c r="V87" s="20"/>
      <c r="W87" s="20"/>
      <c r="X87" s="20"/>
      <c r="Y87" s="20"/>
      <c r="Z87" s="20"/>
    </row>
    <row r="88">
      <c r="A88" s="23"/>
      <c r="B88" s="23">
        <f t="shared" si="1"/>
        <v>0.0647684144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19"/>
      <c r="U88" s="20"/>
      <c r="V88" s="20"/>
      <c r="W88" s="20"/>
      <c r="X88" s="20"/>
      <c r="Y88" s="20"/>
      <c r="Z88" s="20"/>
    </row>
    <row r="89">
      <c r="A89" s="23"/>
      <c r="B89" s="23">
        <f t="shared" si="1"/>
        <v>0.4690482176</v>
      </c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19"/>
      <c r="U89" s="20"/>
      <c r="V89" s="20"/>
      <c r="W89" s="20"/>
      <c r="X89" s="20"/>
      <c r="Y89" s="20"/>
      <c r="Z89" s="20"/>
    </row>
    <row r="90">
      <c r="A90" s="23"/>
      <c r="B90" s="23">
        <f t="shared" si="1"/>
        <v>0.8306486022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19"/>
      <c r="U90" s="20"/>
      <c r="V90" s="20"/>
      <c r="W90" s="20"/>
      <c r="X90" s="20"/>
      <c r="Y90" s="20"/>
      <c r="Z90" s="20"/>
    </row>
    <row r="91">
      <c r="A91" s="23"/>
      <c r="B91" s="23">
        <f t="shared" si="1"/>
        <v>0.9683184608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19"/>
      <c r="U91" s="20"/>
      <c r="V91" s="20"/>
      <c r="W91" s="20"/>
      <c r="X91" s="20"/>
      <c r="Y91" s="20"/>
      <c r="Z91" s="20"/>
    </row>
    <row r="92">
      <c r="A92" s="23"/>
      <c r="B92" s="23">
        <f t="shared" si="1"/>
        <v>0.7763561141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19"/>
      <c r="U92" s="20"/>
      <c r="V92" s="20"/>
      <c r="W92" s="20"/>
      <c r="X92" s="20"/>
      <c r="Y92" s="20"/>
      <c r="Z92" s="20"/>
    </row>
    <row r="93">
      <c r="A93" s="23"/>
      <c r="B93" s="23">
        <f t="shared" si="1"/>
        <v>0.9315070709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19"/>
      <c r="U93" s="20"/>
      <c r="V93" s="20"/>
      <c r="W93" s="20"/>
      <c r="X93" s="20"/>
      <c r="Y93" s="20"/>
      <c r="Z93" s="20"/>
    </row>
    <row r="94">
      <c r="A94" s="23"/>
      <c r="B94" s="23">
        <f t="shared" si="1"/>
        <v>0.3765533218</v>
      </c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19"/>
      <c r="U94" s="20"/>
      <c r="V94" s="20"/>
      <c r="W94" s="20"/>
      <c r="X94" s="20"/>
      <c r="Y94" s="20"/>
      <c r="Z94" s="20"/>
    </row>
    <row r="95">
      <c r="A95" s="23"/>
      <c r="B95" s="23">
        <f t="shared" si="1"/>
        <v>0.4367219466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19"/>
      <c r="U95" s="20"/>
      <c r="V95" s="20"/>
      <c r="W95" s="20"/>
      <c r="X95" s="20"/>
      <c r="Y95" s="20"/>
      <c r="Z95" s="20"/>
    </row>
    <row r="96">
      <c r="A96" s="23"/>
      <c r="B96" s="23">
        <f t="shared" si="1"/>
        <v>0.8481639177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19"/>
      <c r="U96" s="20"/>
      <c r="V96" s="20"/>
      <c r="W96" s="20"/>
      <c r="X96" s="20"/>
      <c r="Y96" s="20"/>
      <c r="Z96" s="20"/>
    </row>
    <row r="97">
      <c r="A97" s="23"/>
      <c r="B97" s="23">
        <f t="shared" si="1"/>
        <v>0.3201384691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19"/>
      <c r="U97" s="20"/>
      <c r="V97" s="20"/>
      <c r="W97" s="20"/>
      <c r="X97" s="20"/>
      <c r="Y97" s="20"/>
      <c r="Z97" s="20"/>
    </row>
    <row r="98">
      <c r="A98" s="23"/>
      <c r="B98" s="23">
        <f t="shared" si="1"/>
        <v>0.1757483856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19"/>
      <c r="U98" s="20"/>
      <c r="V98" s="20"/>
      <c r="W98" s="20"/>
      <c r="X98" s="20"/>
      <c r="Y98" s="20"/>
      <c r="Z98" s="20"/>
    </row>
    <row r="99">
      <c r="A99" s="23"/>
      <c r="B99" s="23">
        <f t="shared" si="1"/>
        <v>0.1903725109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19"/>
      <c r="U99" s="20"/>
      <c r="V99" s="20"/>
      <c r="W99" s="20"/>
      <c r="X99" s="20"/>
      <c r="Y99" s="20"/>
      <c r="Z99" s="20"/>
    </row>
    <row r="100">
      <c r="A100" s="23"/>
      <c r="B100" s="23">
        <f t="shared" si="1"/>
        <v>0.2255244395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19"/>
      <c r="U100" s="20"/>
      <c r="V100" s="20"/>
      <c r="W100" s="20"/>
      <c r="X100" s="20"/>
      <c r="Y100" s="20"/>
      <c r="Z100" s="20"/>
    </row>
    <row r="101">
      <c r="A101" s="23"/>
      <c r="B101" s="23">
        <f t="shared" si="1"/>
        <v>0.4003593046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19"/>
      <c r="U101" s="20"/>
      <c r="V101" s="20"/>
      <c r="W101" s="20"/>
      <c r="X101" s="20"/>
      <c r="Y101" s="20"/>
      <c r="Z101" s="20"/>
    </row>
    <row r="102">
      <c r="A102" s="23"/>
      <c r="B102" s="23">
        <f t="shared" si="1"/>
        <v>0.08230517887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19"/>
      <c r="U102" s="20"/>
      <c r="V102" s="20"/>
      <c r="W102" s="20"/>
      <c r="X102" s="20"/>
      <c r="Y102" s="20"/>
      <c r="Z102" s="20"/>
    </row>
    <row r="103">
      <c r="A103" s="23"/>
      <c r="B103" s="23">
        <f t="shared" si="1"/>
        <v>0.3137876482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19"/>
      <c r="U103" s="20"/>
      <c r="V103" s="20"/>
      <c r="W103" s="20"/>
      <c r="X103" s="20"/>
      <c r="Y103" s="20"/>
      <c r="Z103" s="20"/>
    </row>
    <row r="104">
      <c r="A104" s="23"/>
      <c r="B104" s="23">
        <f t="shared" si="1"/>
        <v>0.344324472</v>
      </c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19"/>
      <c r="U104" s="20"/>
      <c r="V104" s="20"/>
      <c r="W104" s="20"/>
      <c r="X104" s="20"/>
      <c r="Y104" s="20"/>
      <c r="Z104" s="20"/>
    </row>
    <row r="105">
      <c r="A105" s="23"/>
      <c r="B105" s="23">
        <f t="shared" si="1"/>
        <v>0.05947997383</v>
      </c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19"/>
      <c r="U105" s="20"/>
      <c r="V105" s="20"/>
      <c r="W105" s="20"/>
      <c r="X105" s="20"/>
      <c r="Y105" s="20"/>
      <c r="Z105" s="20"/>
    </row>
    <row r="106">
      <c r="A106" s="23"/>
      <c r="B106" s="23">
        <f t="shared" si="1"/>
        <v>0.2631899686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19"/>
      <c r="U106" s="20"/>
      <c r="V106" s="20"/>
      <c r="W106" s="20"/>
      <c r="X106" s="20"/>
      <c r="Y106" s="20"/>
      <c r="Z106" s="20"/>
    </row>
    <row r="107">
      <c r="A107" s="23"/>
      <c r="B107" s="23">
        <f t="shared" si="1"/>
        <v>0.7700462997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19"/>
      <c r="U107" s="20"/>
      <c r="V107" s="20"/>
      <c r="W107" s="20"/>
      <c r="X107" s="20"/>
      <c r="Y107" s="20"/>
      <c r="Z107" s="20"/>
    </row>
    <row r="108">
      <c r="A108" s="23"/>
      <c r="B108" s="23">
        <f t="shared" si="1"/>
        <v>0.4421209379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19"/>
      <c r="U108" s="20"/>
      <c r="V108" s="20"/>
      <c r="W108" s="20"/>
      <c r="X108" s="20"/>
      <c r="Y108" s="20"/>
      <c r="Z108" s="20"/>
    </row>
    <row r="109">
      <c r="A109" s="23"/>
      <c r="B109" s="23">
        <f t="shared" si="1"/>
        <v>0.3680531476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19"/>
      <c r="U109" s="20"/>
      <c r="V109" s="20"/>
      <c r="W109" s="20"/>
      <c r="X109" s="20"/>
      <c r="Y109" s="20"/>
      <c r="Z109" s="20"/>
    </row>
    <row r="110">
      <c r="A110" s="23"/>
      <c r="B110" s="23">
        <f t="shared" si="1"/>
        <v>0.1303843519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19"/>
      <c r="U110" s="20"/>
      <c r="V110" s="20"/>
      <c r="W110" s="20"/>
      <c r="X110" s="20"/>
      <c r="Y110" s="20"/>
      <c r="Z110" s="20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20"/>
      <c r="V111" s="20"/>
      <c r="W111" s="20"/>
      <c r="X111" s="20"/>
      <c r="Y111" s="20"/>
      <c r="Z111" s="20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20"/>
      <c r="V112" s="20"/>
      <c r="W112" s="20"/>
      <c r="X112" s="20"/>
      <c r="Y112" s="20"/>
      <c r="Z112" s="20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20"/>
      <c r="V113" s="20"/>
      <c r="W113" s="20"/>
      <c r="X113" s="20"/>
      <c r="Y113" s="20"/>
      <c r="Z113" s="20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20"/>
      <c r="V114" s="20"/>
      <c r="W114" s="20"/>
      <c r="X114" s="20"/>
      <c r="Y114" s="20"/>
      <c r="Z114" s="20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20"/>
      <c r="V115" s="20"/>
      <c r="W115" s="20"/>
      <c r="X115" s="20"/>
      <c r="Y115" s="20"/>
      <c r="Z115" s="20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20"/>
      <c r="V116" s="20"/>
      <c r="W116" s="20"/>
      <c r="X116" s="20"/>
      <c r="Y116" s="20"/>
      <c r="Z116" s="20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20"/>
      <c r="V117" s="20"/>
      <c r="W117" s="20"/>
      <c r="X117" s="20"/>
      <c r="Y117" s="20"/>
      <c r="Z117" s="20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20"/>
      <c r="V118" s="20"/>
      <c r="W118" s="20"/>
      <c r="X118" s="20"/>
      <c r="Y118" s="20"/>
      <c r="Z118" s="20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20"/>
      <c r="V119" s="20"/>
      <c r="W119" s="20"/>
      <c r="X119" s="20"/>
      <c r="Y119" s="20"/>
      <c r="Z119" s="20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20"/>
      <c r="V120" s="20"/>
      <c r="W120" s="20"/>
      <c r="X120" s="20"/>
      <c r="Y120" s="20"/>
      <c r="Z120" s="20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20"/>
      <c r="V121" s="20"/>
      <c r="W121" s="20"/>
      <c r="X121" s="20"/>
      <c r="Y121" s="20"/>
      <c r="Z121" s="20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20"/>
      <c r="V122" s="20"/>
      <c r="W122" s="20"/>
      <c r="X122" s="20"/>
      <c r="Y122" s="20"/>
      <c r="Z122" s="20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20"/>
      <c r="V123" s="20"/>
      <c r="W123" s="20"/>
      <c r="X123" s="20"/>
      <c r="Y123" s="20"/>
      <c r="Z123" s="20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20"/>
      <c r="V124" s="20"/>
      <c r="W124" s="20"/>
      <c r="X124" s="20"/>
      <c r="Y124" s="20"/>
      <c r="Z124" s="20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20"/>
      <c r="V125" s="20"/>
      <c r="W125" s="20"/>
      <c r="X125" s="20"/>
      <c r="Y125" s="20"/>
      <c r="Z125" s="20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4" t="s">
        <v>37</v>
      </c>
      <c r="B2" s="24" t="s">
        <v>38</v>
      </c>
      <c r="C2" s="25"/>
      <c r="D2" s="25"/>
      <c r="E2" s="25"/>
      <c r="F2" s="25"/>
      <c r="G2" s="25"/>
      <c r="H2" s="25"/>
      <c r="I2" s="25"/>
      <c r="J2" s="25"/>
      <c r="K2" s="25"/>
      <c r="L2" s="26"/>
      <c r="M2" s="26"/>
    </row>
    <row r="3">
      <c r="A3" s="25"/>
      <c r="B3" s="24" t="s">
        <v>39</v>
      </c>
      <c r="C3" s="25"/>
      <c r="D3" s="25"/>
      <c r="E3" s="25"/>
      <c r="F3" s="25"/>
      <c r="G3" s="25"/>
      <c r="H3" s="25"/>
      <c r="I3" s="25"/>
      <c r="J3" s="25"/>
      <c r="K3" s="25"/>
      <c r="L3" s="26"/>
      <c r="M3" s="26"/>
    </row>
    <row r="5">
      <c r="A5" s="27" t="s">
        <v>4</v>
      </c>
      <c r="B5" s="28" t="s">
        <v>40</v>
      </c>
      <c r="C5" s="29"/>
      <c r="D5" s="29"/>
      <c r="E5" s="28" t="s">
        <v>41</v>
      </c>
      <c r="F5" s="29"/>
      <c r="G5" s="29"/>
      <c r="H5" s="29"/>
      <c r="I5" s="29"/>
      <c r="J5" s="29"/>
      <c r="K5" s="29"/>
      <c r="L5" s="30"/>
      <c r="M5" s="30"/>
    </row>
    <row r="6">
      <c r="A6" s="29"/>
      <c r="B6" s="31"/>
      <c r="C6" s="29"/>
      <c r="D6" s="29"/>
      <c r="E6" s="31"/>
      <c r="F6" s="29"/>
      <c r="G6" s="29"/>
      <c r="H6" s="29"/>
      <c r="I6" s="29"/>
      <c r="J6" s="29"/>
      <c r="K6" s="29"/>
      <c r="L6" s="30"/>
      <c r="M6" s="30"/>
    </row>
    <row r="7">
      <c r="A7" s="29"/>
      <c r="B7" s="28" t="s">
        <v>42</v>
      </c>
      <c r="C7" s="29"/>
      <c r="D7" s="29"/>
      <c r="E7" s="28" t="s">
        <v>43</v>
      </c>
      <c r="F7" s="29"/>
      <c r="G7" s="29"/>
      <c r="H7" s="29"/>
      <c r="I7" s="29"/>
      <c r="J7" s="29"/>
      <c r="K7" s="29"/>
      <c r="L7" s="30"/>
      <c r="M7" s="30"/>
    </row>
    <row r="8">
      <c r="A8" s="29"/>
      <c r="B8" s="31"/>
      <c r="C8" s="29"/>
      <c r="D8" s="29"/>
      <c r="E8" s="31"/>
      <c r="F8" s="29"/>
      <c r="G8" s="29"/>
      <c r="H8" s="29"/>
      <c r="I8" s="29"/>
      <c r="J8" s="29"/>
      <c r="K8" s="29"/>
      <c r="L8" s="30"/>
      <c r="M8" s="30"/>
    </row>
    <row r="9">
      <c r="A9" s="29"/>
      <c r="B9" s="28" t="s">
        <v>44</v>
      </c>
      <c r="C9" s="29"/>
      <c r="D9" s="29"/>
      <c r="E9" s="28" t="s">
        <v>45</v>
      </c>
      <c r="F9" s="29"/>
      <c r="G9" s="29"/>
      <c r="H9" s="29"/>
      <c r="I9" s="29"/>
      <c r="J9" s="29"/>
      <c r="K9" s="29"/>
      <c r="L9" s="30"/>
      <c r="M9" s="30"/>
    </row>
    <row r="10">
      <c r="A10" s="29"/>
      <c r="B10" s="31"/>
      <c r="C10" s="29"/>
      <c r="D10" s="29"/>
      <c r="E10" s="31"/>
      <c r="F10" s="29"/>
      <c r="G10" s="29"/>
      <c r="H10" s="29"/>
      <c r="I10" s="29"/>
      <c r="J10" s="29"/>
      <c r="K10" s="29"/>
      <c r="L10" s="30"/>
      <c r="M10" s="30"/>
    </row>
    <row r="11">
      <c r="A11" s="29"/>
      <c r="B11" s="28" t="s">
        <v>46</v>
      </c>
      <c r="C11" s="29"/>
      <c r="D11" s="29"/>
      <c r="E11" s="28" t="s">
        <v>47</v>
      </c>
      <c r="F11" s="29"/>
      <c r="G11" s="29"/>
      <c r="H11" s="29"/>
      <c r="I11" s="29"/>
      <c r="J11" s="29"/>
      <c r="K11" s="29"/>
      <c r="L11" s="30"/>
      <c r="M11" s="30"/>
    </row>
    <row r="12">
      <c r="A12" s="29"/>
      <c r="B12" s="29"/>
      <c r="C12" s="29"/>
      <c r="D12" s="29"/>
      <c r="E12" s="28" t="s">
        <v>48</v>
      </c>
      <c r="F12" s="29"/>
      <c r="G12" s="29"/>
      <c r="H12" s="29"/>
      <c r="I12" s="29"/>
      <c r="J12" s="29"/>
      <c r="K12" s="29"/>
      <c r="L12" s="30"/>
      <c r="M12" s="30"/>
    </row>
    <row r="13">
      <c r="A13" s="29"/>
      <c r="B13" s="29"/>
      <c r="C13" s="29"/>
      <c r="D13" s="29"/>
      <c r="E13" s="31"/>
      <c r="F13" s="29"/>
      <c r="G13" s="29"/>
      <c r="H13" s="29"/>
      <c r="I13" s="29"/>
      <c r="J13" s="29"/>
      <c r="K13" s="29"/>
      <c r="L13" s="30"/>
      <c r="M13" s="30"/>
    </row>
    <row r="14">
      <c r="A14" s="29"/>
      <c r="B14" s="29"/>
      <c r="C14" s="29"/>
      <c r="D14" s="29"/>
      <c r="E14" s="28" t="s">
        <v>49</v>
      </c>
      <c r="F14" s="29"/>
      <c r="G14" s="29"/>
      <c r="H14" s="29"/>
      <c r="I14" s="29"/>
      <c r="J14" s="29"/>
      <c r="K14" s="29"/>
      <c r="L14" s="30"/>
      <c r="M14" s="30"/>
    </row>
    <row r="15">
      <c r="A15" s="29"/>
      <c r="B15" s="29"/>
      <c r="C15" s="29"/>
      <c r="D15" s="29"/>
      <c r="E15" s="28" t="s">
        <v>50</v>
      </c>
      <c r="F15" s="29"/>
      <c r="G15" s="29"/>
      <c r="H15" s="29"/>
      <c r="I15" s="29"/>
      <c r="J15" s="29"/>
      <c r="K15" s="29"/>
      <c r="L15" s="30"/>
      <c r="M15" s="30"/>
    </row>
    <row r="16">
      <c r="A16" s="29"/>
      <c r="B16" s="29"/>
      <c r="C16" s="29"/>
      <c r="D16" s="29"/>
      <c r="E16" s="31"/>
      <c r="F16" s="29"/>
      <c r="G16" s="29"/>
      <c r="H16" s="29"/>
      <c r="I16" s="29"/>
      <c r="J16" s="29"/>
      <c r="K16" s="29"/>
      <c r="L16" s="30"/>
      <c r="M16" s="30"/>
    </row>
    <row r="17">
      <c r="A17" s="29"/>
      <c r="B17" s="29"/>
      <c r="C17" s="29"/>
      <c r="D17" s="29"/>
      <c r="E17" s="28" t="s">
        <v>51</v>
      </c>
      <c r="F17" s="29"/>
      <c r="G17" s="29"/>
      <c r="H17" s="29"/>
      <c r="I17" s="29"/>
      <c r="J17" s="29"/>
      <c r="K17" s="29"/>
      <c r="L17" s="30"/>
      <c r="M17" s="30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30"/>
      <c r="M18" s="30"/>
    </row>
    <row r="19">
      <c r="A19" s="29"/>
      <c r="B19" s="28" t="s">
        <v>52</v>
      </c>
      <c r="C19" s="29"/>
      <c r="D19" s="29"/>
      <c r="E19" s="29"/>
      <c r="F19" s="29"/>
      <c r="G19" s="29"/>
      <c r="H19" s="29"/>
      <c r="I19" s="29"/>
      <c r="J19" s="29"/>
      <c r="K19" s="29"/>
      <c r="L19" s="30"/>
      <c r="M19" s="30"/>
    </row>
    <row r="20">
      <c r="A20" s="29"/>
      <c r="B20" s="31"/>
      <c r="C20" s="29"/>
      <c r="D20" s="29"/>
      <c r="E20" s="29"/>
      <c r="F20" s="29"/>
      <c r="G20" s="29"/>
      <c r="H20" s="29"/>
      <c r="I20" s="29"/>
      <c r="J20" s="29"/>
      <c r="K20" s="29"/>
      <c r="L20" s="30"/>
      <c r="M20" s="30"/>
    </row>
    <row r="21">
      <c r="A21" s="29"/>
      <c r="B21" s="28" t="s">
        <v>53</v>
      </c>
      <c r="C21" s="29"/>
      <c r="D21" s="29"/>
      <c r="E21" s="29"/>
      <c r="F21" s="29"/>
      <c r="G21" s="29"/>
      <c r="H21" s="29"/>
      <c r="I21" s="29"/>
      <c r="J21" s="29"/>
      <c r="K21" s="29"/>
      <c r="L21" s="30"/>
      <c r="M21" s="30"/>
    </row>
    <row r="22">
      <c r="A22" s="29"/>
      <c r="B22" s="31"/>
      <c r="C22" s="29"/>
      <c r="D22" s="29"/>
      <c r="E22" s="29"/>
      <c r="F22" s="29"/>
      <c r="G22" s="29"/>
      <c r="H22" s="29"/>
      <c r="I22" s="29"/>
      <c r="J22" s="29"/>
      <c r="K22" s="29"/>
      <c r="L22" s="30"/>
      <c r="M22" s="30"/>
    </row>
    <row r="23">
      <c r="A23" s="29"/>
      <c r="B23" s="28" t="s">
        <v>54</v>
      </c>
      <c r="C23" s="29"/>
      <c r="D23" s="29"/>
      <c r="E23" s="29"/>
      <c r="F23" s="29"/>
      <c r="G23" s="29"/>
      <c r="H23" s="29"/>
      <c r="I23" s="29"/>
      <c r="J23" s="29"/>
      <c r="K23" s="29"/>
      <c r="L23" s="30"/>
      <c r="M23" s="30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30"/>
      <c r="M24" s="30"/>
    </row>
    <row r="25">
      <c r="A25" s="29"/>
      <c r="B25" s="28" t="s">
        <v>55</v>
      </c>
      <c r="C25" s="29"/>
      <c r="D25" s="29"/>
      <c r="E25" s="29"/>
      <c r="F25" s="29"/>
      <c r="G25" s="29"/>
      <c r="H25" s="29"/>
      <c r="I25" s="29"/>
      <c r="J25" s="29"/>
      <c r="K25" s="29"/>
      <c r="L25" s="30"/>
      <c r="M25" s="30"/>
    </row>
    <row r="26">
      <c r="A26" s="29"/>
      <c r="B26" s="31"/>
      <c r="C26" s="29"/>
      <c r="D26" s="29"/>
      <c r="E26" s="29"/>
      <c r="F26" s="29"/>
      <c r="G26" s="29"/>
      <c r="H26" s="29"/>
      <c r="I26" s="29"/>
      <c r="J26" s="29"/>
      <c r="K26" s="29"/>
      <c r="L26" s="30"/>
      <c r="M26" s="30"/>
    </row>
    <row r="27">
      <c r="A27" s="29"/>
      <c r="B27" s="28" t="s">
        <v>56</v>
      </c>
      <c r="C27" s="29"/>
      <c r="D27" s="29"/>
      <c r="E27" s="29"/>
      <c r="F27" s="29"/>
      <c r="G27" s="29"/>
      <c r="H27" s="29"/>
      <c r="I27" s="29"/>
      <c r="J27" s="29"/>
      <c r="K27" s="29"/>
      <c r="L27" s="30"/>
      <c r="M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>
      <c r="A30" s="30"/>
      <c r="B30" s="30"/>
      <c r="C30" s="30"/>
      <c r="D30" s="30"/>
      <c r="E30" s="30"/>
      <c r="F30" s="30"/>
      <c r="G30" s="30"/>
      <c r="H30" s="28" t="s">
        <v>57</v>
      </c>
      <c r="I30" s="30"/>
      <c r="J30" s="30"/>
      <c r="K30" s="30"/>
      <c r="L30" s="30"/>
      <c r="M30" s="30"/>
    </row>
    <row r="31">
      <c r="A31" s="30"/>
      <c r="B31" s="30"/>
      <c r="C31" s="30"/>
      <c r="D31" s="30"/>
      <c r="E31" s="30"/>
      <c r="F31" s="30"/>
      <c r="G31" s="30"/>
      <c r="H31" s="31"/>
      <c r="I31" s="30"/>
      <c r="J31" s="30"/>
      <c r="K31" s="30"/>
      <c r="L31" s="30"/>
      <c r="M31" s="30"/>
    </row>
    <row r="32">
      <c r="A32" s="30"/>
      <c r="B32" s="30"/>
      <c r="C32" s="30"/>
      <c r="D32" s="30"/>
      <c r="E32" s="30"/>
      <c r="F32" s="30"/>
      <c r="G32" s="30"/>
      <c r="H32" s="28" t="s">
        <v>58</v>
      </c>
      <c r="I32" s="30"/>
      <c r="J32" s="30"/>
      <c r="K32" s="30"/>
      <c r="L32" s="30"/>
      <c r="M32" s="30"/>
    </row>
    <row r="33">
      <c r="A33" s="30"/>
      <c r="B33" s="30"/>
      <c r="C33" s="30"/>
      <c r="D33" s="30"/>
      <c r="E33" s="30"/>
      <c r="F33" s="30"/>
      <c r="G33" s="30"/>
      <c r="H33" s="31"/>
      <c r="I33" s="30"/>
      <c r="J33" s="30"/>
      <c r="K33" s="30"/>
      <c r="L33" s="30"/>
      <c r="M33" s="30"/>
    </row>
    <row r="34">
      <c r="A34" s="30"/>
      <c r="B34" s="30"/>
      <c r="C34" s="30"/>
      <c r="D34" s="30"/>
      <c r="E34" s="30"/>
      <c r="F34" s="30"/>
      <c r="G34" s="30"/>
      <c r="H34" s="28" t="s">
        <v>59</v>
      </c>
      <c r="I34" s="30"/>
      <c r="J34" s="30"/>
      <c r="K34" s="30"/>
      <c r="L34" s="30"/>
      <c r="M34" s="30"/>
    </row>
    <row r="35">
      <c r="A35" s="30"/>
      <c r="B35" s="30"/>
      <c r="C35" s="30"/>
      <c r="D35" s="30"/>
      <c r="E35" s="30"/>
      <c r="F35" s="30"/>
      <c r="G35" s="30"/>
      <c r="H35" s="28" t="s">
        <v>60</v>
      </c>
      <c r="I35" s="30"/>
      <c r="J35" s="30"/>
      <c r="K35" s="30"/>
      <c r="L35" s="30"/>
      <c r="M35" s="30"/>
    </row>
    <row r="36">
      <c r="A36" s="30"/>
      <c r="B36" s="30"/>
      <c r="C36" s="30"/>
      <c r="D36" s="30"/>
      <c r="E36" s="30"/>
      <c r="F36" s="30"/>
      <c r="G36" s="30"/>
      <c r="H36" s="28" t="s">
        <v>61</v>
      </c>
      <c r="I36" s="30"/>
      <c r="J36" s="30"/>
      <c r="K36" s="30"/>
      <c r="L36" s="30"/>
      <c r="M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2" t="s">
        <v>62</v>
      </c>
      <c r="B2" s="32" t="s">
        <v>63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26"/>
      <c r="N2" s="26"/>
    </row>
    <row r="3">
      <c r="A3" s="33"/>
      <c r="B3" s="32" t="s">
        <v>64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26"/>
      <c r="N3" s="26"/>
    </row>
    <row r="4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>
      <c r="A5" s="27" t="s">
        <v>4</v>
      </c>
      <c r="B5" s="27" t="s">
        <v>65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30"/>
      <c r="N5" s="30"/>
    </row>
    <row r="6">
      <c r="A6" s="29"/>
      <c r="B6" s="27" t="s">
        <v>66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30"/>
      <c r="N6" s="30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30"/>
      <c r="N7" s="30"/>
    </row>
    <row r="8">
      <c r="A8" s="29"/>
      <c r="B8" s="28" t="s">
        <v>67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30"/>
      <c r="N8" s="30"/>
    </row>
    <row r="9">
      <c r="A9" s="29"/>
      <c r="B9" s="31"/>
      <c r="C9" s="29"/>
      <c r="D9" s="29"/>
      <c r="E9" s="29"/>
      <c r="F9" s="29"/>
      <c r="G9" s="29"/>
      <c r="H9" s="29"/>
      <c r="I9" s="29"/>
      <c r="J9" s="29"/>
      <c r="K9" s="29"/>
      <c r="L9" s="29"/>
      <c r="M9" s="30"/>
      <c r="N9" s="30"/>
    </row>
    <row r="10">
      <c r="A10" s="29"/>
      <c r="B10" s="28" t="s">
        <v>68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30"/>
      <c r="N10" s="30"/>
    </row>
    <row r="11">
      <c r="A11" s="29"/>
      <c r="B11" s="27" t="s">
        <v>69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0"/>
      <c r="N11" s="30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30"/>
      <c r="N12" s="30"/>
    </row>
    <row r="13">
      <c r="A13" s="29"/>
      <c r="B13" s="27" t="s">
        <v>70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  <c r="N13" s="30"/>
    </row>
    <row r="14">
      <c r="A14" s="29"/>
      <c r="B14" s="27" t="s">
        <v>71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0"/>
      <c r="N14" s="30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30"/>
      <c r="N15" s="30"/>
    </row>
    <row r="16">
      <c r="A16" s="29"/>
      <c r="B16" s="28" t="s">
        <v>72</v>
      </c>
      <c r="C16" s="29"/>
      <c r="D16" s="29"/>
      <c r="E16" s="29"/>
      <c r="F16" s="29"/>
      <c r="G16" s="28" t="s">
        <v>73</v>
      </c>
      <c r="H16" s="29"/>
      <c r="I16" s="29"/>
      <c r="J16" s="29"/>
      <c r="K16" s="29"/>
      <c r="L16" s="29"/>
      <c r="M16" s="30"/>
      <c r="N16" s="30"/>
    </row>
    <row r="17">
      <c r="A17" s="29"/>
      <c r="B17" s="28" t="s">
        <v>74</v>
      </c>
      <c r="C17" s="29"/>
      <c r="D17" s="29"/>
      <c r="E17" s="29"/>
      <c r="F17" s="29"/>
      <c r="G17" s="31"/>
      <c r="H17" s="29"/>
      <c r="I17" s="29"/>
      <c r="J17" s="29"/>
      <c r="K17" s="29"/>
      <c r="L17" s="29"/>
      <c r="M17" s="30"/>
      <c r="N17" s="30"/>
    </row>
    <row r="18">
      <c r="A18" s="29"/>
      <c r="B18" s="31"/>
      <c r="C18" s="29"/>
      <c r="D18" s="29"/>
      <c r="E18" s="29"/>
      <c r="F18" s="29"/>
      <c r="G18" s="28" t="s">
        <v>75</v>
      </c>
      <c r="H18" s="29"/>
      <c r="I18" s="29"/>
      <c r="J18" s="29"/>
      <c r="K18" s="29"/>
      <c r="L18" s="29"/>
      <c r="M18" s="30"/>
      <c r="N18" s="30"/>
    </row>
    <row r="19">
      <c r="A19" s="29"/>
      <c r="B19" s="28" t="s">
        <v>76</v>
      </c>
      <c r="C19" s="29"/>
      <c r="D19" s="29"/>
      <c r="E19" s="29"/>
      <c r="F19" s="29"/>
      <c r="G19" s="31"/>
      <c r="H19" s="27" t="s">
        <v>77</v>
      </c>
      <c r="I19" s="29"/>
      <c r="J19" s="29"/>
      <c r="K19" s="29"/>
      <c r="L19" s="29"/>
      <c r="M19" s="30"/>
      <c r="N19" s="30"/>
    </row>
    <row r="20">
      <c r="A20" s="29"/>
      <c r="B20" s="31"/>
      <c r="C20" s="29"/>
      <c r="D20" s="29"/>
      <c r="E20" s="29"/>
      <c r="F20" s="29"/>
      <c r="G20" s="28" t="s">
        <v>78</v>
      </c>
      <c r="H20" s="29"/>
      <c r="I20" s="29"/>
      <c r="J20" s="29"/>
      <c r="K20" s="29"/>
      <c r="L20" s="29"/>
      <c r="M20" s="30"/>
      <c r="N20" s="30"/>
    </row>
    <row r="21">
      <c r="A21" s="29"/>
      <c r="B21" s="28" t="s">
        <v>79</v>
      </c>
      <c r="C21" s="29"/>
      <c r="D21" s="29"/>
      <c r="E21" s="29"/>
      <c r="F21" s="29"/>
      <c r="G21" s="31"/>
      <c r="H21" s="27" t="s">
        <v>80</v>
      </c>
      <c r="I21" s="29"/>
      <c r="J21" s="29"/>
      <c r="K21" s="29"/>
      <c r="L21" s="29"/>
      <c r="M21" s="30"/>
      <c r="N21" s="30"/>
    </row>
    <row r="22">
      <c r="A22" s="29"/>
      <c r="B22" s="31"/>
      <c r="C22" s="29"/>
      <c r="D22" s="29"/>
      <c r="E22" s="29"/>
      <c r="F22" s="29"/>
      <c r="G22" s="28" t="s">
        <v>81</v>
      </c>
      <c r="H22" s="29"/>
      <c r="I22" s="29"/>
      <c r="J22" s="29"/>
      <c r="K22" s="29"/>
      <c r="L22" s="29"/>
      <c r="M22" s="30"/>
      <c r="N22" s="30"/>
    </row>
    <row r="23">
      <c r="A23" s="29"/>
      <c r="B23" s="28" t="s">
        <v>82</v>
      </c>
      <c r="C23" s="29"/>
      <c r="D23" s="29"/>
      <c r="E23" s="29"/>
      <c r="F23" s="29"/>
      <c r="G23" s="31"/>
      <c r="H23" s="27" t="s">
        <v>83</v>
      </c>
      <c r="I23" s="29"/>
      <c r="J23" s="29"/>
      <c r="K23" s="29"/>
      <c r="L23" s="29"/>
      <c r="M23" s="30"/>
      <c r="N23" s="30"/>
    </row>
    <row r="24">
      <c r="A24" s="29"/>
      <c r="B24" s="29"/>
      <c r="C24" s="29"/>
      <c r="D24" s="29"/>
      <c r="E24" s="29"/>
      <c r="F24" s="29"/>
      <c r="G24" s="28" t="s">
        <v>84</v>
      </c>
      <c r="H24" s="29"/>
      <c r="I24" s="29"/>
      <c r="J24" s="29"/>
      <c r="K24" s="29"/>
      <c r="L24" s="29"/>
      <c r="M24" s="30"/>
      <c r="N24" s="30"/>
    </row>
    <row r="25">
      <c r="A25" s="29"/>
      <c r="B25" s="28" t="s">
        <v>85</v>
      </c>
      <c r="C25" s="29"/>
      <c r="D25" s="29"/>
      <c r="E25" s="29"/>
      <c r="F25" s="29"/>
      <c r="G25" s="29"/>
      <c r="H25" s="27" t="s">
        <v>86</v>
      </c>
      <c r="I25" s="29"/>
      <c r="J25" s="29"/>
      <c r="K25" s="29"/>
      <c r="L25" s="29"/>
      <c r="M25" s="30"/>
      <c r="N25" s="30"/>
    </row>
    <row r="26">
      <c r="A26" s="29"/>
      <c r="B26" s="31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0"/>
      <c r="N26" s="30"/>
    </row>
    <row r="27">
      <c r="A27" s="29"/>
      <c r="B27" s="28" t="s">
        <v>87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0"/>
      <c r="N27" s="30"/>
    </row>
    <row r="28">
      <c r="A28" s="29"/>
      <c r="B28" s="31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0"/>
      <c r="N28" s="30"/>
    </row>
    <row r="29">
      <c r="A29" s="29"/>
      <c r="B29" s="28" t="s">
        <v>88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0"/>
      <c r="N29" s="30"/>
    </row>
    <row r="30">
      <c r="A30" s="29"/>
      <c r="B30" s="31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0"/>
      <c r="N30" s="30"/>
    </row>
    <row r="31">
      <c r="A31" s="29"/>
      <c r="B31" s="28" t="s">
        <v>89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30"/>
      <c r="N31" s="30"/>
    </row>
    <row r="32">
      <c r="A32" s="29"/>
      <c r="B32" s="31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0"/>
      <c r="N32" s="30"/>
    </row>
    <row r="33">
      <c r="A33" s="29"/>
      <c r="B33" s="28" t="s">
        <v>90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30"/>
      <c r="N33" s="30"/>
    </row>
    <row r="34">
      <c r="A34" s="29"/>
      <c r="B34" s="31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0"/>
      <c r="N34" s="30"/>
    </row>
    <row r="35">
      <c r="A35" s="29"/>
      <c r="B35" s="28" t="s">
        <v>91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0"/>
      <c r="N35" s="30"/>
    </row>
    <row r="36">
      <c r="A36" s="29"/>
      <c r="B36" s="3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0"/>
      <c r="N36" s="30"/>
    </row>
    <row r="37">
      <c r="A37" s="29"/>
      <c r="B37" s="28" t="s">
        <v>92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0"/>
      <c r="N37" s="30"/>
    </row>
    <row r="38">
      <c r="A38" s="29"/>
      <c r="B38" s="31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0"/>
      <c r="N38" s="30"/>
    </row>
    <row r="39">
      <c r="A39" s="29"/>
      <c r="B39" s="28" t="s">
        <v>93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  <c r="N39" s="30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0"/>
      <c r="N40" s="30"/>
    </row>
    <row r="41">
      <c r="A41" s="29"/>
      <c r="B41" s="27" t="s">
        <v>94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0"/>
      <c r="N41" s="30"/>
    </row>
    <row r="42">
      <c r="A42" s="29"/>
      <c r="B42" s="27" t="s">
        <v>95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30"/>
      <c r="N42" s="30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30"/>
      <c r="N43" s="30"/>
    </row>
    <row r="44">
      <c r="A44" s="29"/>
      <c r="B44" s="27" t="s">
        <v>96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  <c r="N44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2">
      <c r="A2" s="35" t="s">
        <v>97</v>
      </c>
      <c r="B2" s="35" t="s">
        <v>98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37"/>
    </row>
    <row r="3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7"/>
      <c r="O3" s="37"/>
    </row>
    <row r="4">
      <c r="A4" s="39" t="s">
        <v>4</v>
      </c>
      <c r="B4" s="3" t="s">
        <v>99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37"/>
      <c r="O4" s="37"/>
    </row>
    <row r="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37"/>
      <c r="O5" s="37"/>
    </row>
    <row r="6">
      <c r="A6" s="40"/>
      <c r="B6" s="39" t="s">
        <v>100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37"/>
      <c r="O6" s="37"/>
    </row>
    <row r="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37"/>
      <c r="O7" s="37"/>
    </row>
    <row r="8">
      <c r="A8" s="40"/>
      <c r="B8" s="39" t="s">
        <v>101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37"/>
      <c r="O8" s="37"/>
    </row>
    <row r="9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37"/>
      <c r="O9" s="37"/>
    </row>
    <row r="10">
      <c r="A10" s="40"/>
      <c r="B10" s="39" t="s">
        <v>102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37"/>
      <c r="O10" s="37"/>
    </row>
    <row r="11">
      <c r="A11" s="40"/>
      <c r="B11" s="39" t="s">
        <v>103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37"/>
      <c r="O11" s="37"/>
    </row>
    <row r="1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37"/>
      <c r="O12" s="37"/>
    </row>
    <row r="13">
      <c r="A13" s="40"/>
      <c r="B13" s="39" t="s">
        <v>104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37"/>
      <c r="O13" s="37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37"/>
      <c r="O14" s="37"/>
    </row>
    <row r="15">
      <c r="A15" s="40"/>
      <c r="B15" s="41" t="s">
        <v>105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37"/>
      <c r="O15" s="37"/>
    </row>
    <row r="16">
      <c r="A16" s="40"/>
      <c r="B16" s="43"/>
      <c r="C16" s="43"/>
      <c r="D16" s="43"/>
      <c r="E16" s="43"/>
      <c r="F16" s="40"/>
      <c r="G16" s="40"/>
      <c r="H16" s="40"/>
      <c r="I16" s="40"/>
      <c r="J16" s="40"/>
      <c r="K16" s="40"/>
      <c r="L16" s="40"/>
      <c r="M16" s="40"/>
      <c r="N16" s="37"/>
      <c r="O16" s="37"/>
    </row>
    <row r="17">
      <c r="A17" s="40"/>
      <c r="B17" s="44" t="s">
        <v>106</v>
      </c>
      <c r="C17" s="44"/>
      <c r="D17" s="44"/>
      <c r="E17" s="44"/>
      <c r="F17" s="44" t="s">
        <v>107</v>
      </c>
      <c r="G17" s="45"/>
      <c r="H17" s="45"/>
      <c r="I17" s="45"/>
      <c r="J17" s="44" t="s">
        <v>108</v>
      </c>
      <c r="K17" s="45"/>
      <c r="L17" s="45"/>
      <c r="M17" s="45"/>
      <c r="N17" s="46"/>
      <c r="O17" s="46"/>
    </row>
    <row r="18">
      <c r="A18" s="40"/>
      <c r="B18" s="47"/>
      <c r="C18" s="44"/>
      <c r="D18" s="44"/>
      <c r="E18" s="44"/>
      <c r="F18" s="45"/>
      <c r="G18" s="45"/>
      <c r="H18" s="45"/>
      <c r="I18" s="45"/>
      <c r="J18" s="45"/>
      <c r="K18" s="45"/>
      <c r="L18" s="45"/>
      <c r="M18" s="45"/>
      <c r="N18" s="46"/>
      <c r="O18" s="46"/>
    </row>
    <row r="19">
      <c r="A19" s="40"/>
      <c r="B19" s="44" t="s">
        <v>109</v>
      </c>
      <c r="C19" s="44"/>
      <c r="D19" s="44"/>
      <c r="E19" s="44"/>
      <c r="F19" s="44" t="s">
        <v>110</v>
      </c>
      <c r="G19" s="45"/>
      <c r="H19" s="45"/>
      <c r="I19" s="45"/>
      <c r="J19" s="44" t="s">
        <v>111</v>
      </c>
      <c r="K19" s="45"/>
      <c r="L19" s="45"/>
      <c r="M19" s="45"/>
      <c r="N19" s="46"/>
      <c r="O19" s="46"/>
    </row>
    <row r="20">
      <c r="A20" s="40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6"/>
      <c r="O20" s="46"/>
    </row>
    <row r="21">
      <c r="A21" s="40"/>
      <c r="B21" s="44" t="s">
        <v>112</v>
      </c>
      <c r="C21" s="45"/>
      <c r="D21" s="45"/>
      <c r="E21" s="45"/>
      <c r="F21" s="44" t="s">
        <v>113</v>
      </c>
      <c r="G21" s="45"/>
      <c r="H21" s="45"/>
      <c r="I21" s="45"/>
      <c r="J21" s="44" t="s">
        <v>114</v>
      </c>
      <c r="K21" s="45"/>
      <c r="L21" s="45"/>
      <c r="M21" s="45"/>
      <c r="N21" s="46"/>
      <c r="O21" s="46"/>
    </row>
    <row r="22">
      <c r="A22" s="40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6"/>
      <c r="O22" s="46"/>
    </row>
    <row r="23">
      <c r="A23" s="40"/>
      <c r="B23" s="44" t="s">
        <v>115</v>
      </c>
      <c r="C23" s="45"/>
      <c r="D23" s="45"/>
      <c r="E23" s="45"/>
      <c r="F23" s="44" t="s">
        <v>116</v>
      </c>
      <c r="G23" s="45"/>
      <c r="H23" s="45"/>
      <c r="I23" s="45"/>
      <c r="J23" s="44" t="s">
        <v>117</v>
      </c>
      <c r="K23" s="45"/>
      <c r="L23" s="45"/>
      <c r="M23" s="45"/>
      <c r="N23" s="46"/>
      <c r="O23" s="46"/>
    </row>
    <row r="24">
      <c r="A24" s="40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6"/>
      <c r="O24" s="46"/>
    </row>
    <row r="25">
      <c r="A25" s="40"/>
      <c r="B25" s="44" t="s">
        <v>118</v>
      </c>
      <c r="C25" s="45"/>
      <c r="D25" s="45"/>
      <c r="E25" s="45"/>
      <c r="F25" s="44" t="s">
        <v>119</v>
      </c>
      <c r="G25" s="45"/>
      <c r="H25" s="45"/>
      <c r="I25" s="45"/>
      <c r="J25" s="44" t="s">
        <v>120</v>
      </c>
      <c r="K25" s="45"/>
      <c r="L25" s="45"/>
      <c r="M25" s="45"/>
      <c r="N25" s="46"/>
      <c r="O25" s="46"/>
    </row>
    <row r="26">
      <c r="A26" s="40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6"/>
      <c r="O26" s="46"/>
    </row>
    <row r="27">
      <c r="A27" s="40"/>
      <c r="B27" s="45"/>
      <c r="C27" s="45"/>
      <c r="D27" s="45"/>
      <c r="E27" s="45"/>
      <c r="F27" s="44" t="s">
        <v>121</v>
      </c>
      <c r="G27" s="45"/>
      <c r="H27" s="45"/>
      <c r="I27" s="45"/>
      <c r="J27" s="44" t="s">
        <v>122</v>
      </c>
      <c r="K27" s="45"/>
      <c r="L27" s="45"/>
      <c r="M27" s="45"/>
      <c r="N27" s="46"/>
      <c r="O27" s="46"/>
    </row>
    <row r="28">
      <c r="A28" s="40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6"/>
      <c r="O28" s="46"/>
    </row>
    <row r="29">
      <c r="A29" s="40"/>
      <c r="B29" s="44" t="s">
        <v>123</v>
      </c>
      <c r="C29" s="45"/>
      <c r="D29" s="45"/>
      <c r="E29" s="45"/>
      <c r="F29" s="44" t="s">
        <v>124</v>
      </c>
      <c r="G29" s="45"/>
      <c r="H29" s="45"/>
      <c r="I29" s="45"/>
      <c r="J29" s="44" t="s">
        <v>125</v>
      </c>
      <c r="K29" s="45"/>
      <c r="L29" s="45"/>
      <c r="M29" s="45"/>
      <c r="N29" s="46"/>
      <c r="O29" s="46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37"/>
      <c r="O30" s="37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7" t="s">
        <v>126</v>
      </c>
      <c r="B2" s="17" t="s">
        <v>127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48"/>
      <c r="O2" s="48"/>
    </row>
    <row r="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>
      <c r="A4" s="49" t="s">
        <v>4</v>
      </c>
      <c r="B4" s="49" t="s">
        <v>128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26"/>
      <c r="O4" s="26"/>
    </row>
    <row r="5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26"/>
      <c r="O5" s="26"/>
    </row>
    <row r="6">
      <c r="A6" s="50"/>
      <c r="B6" s="49" t="s">
        <v>129</v>
      </c>
      <c r="C6" s="50"/>
      <c r="D6" s="50"/>
      <c r="E6" s="50"/>
      <c r="F6" s="50"/>
      <c r="G6" s="50"/>
      <c r="H6" s="49" t="s">
        <v>130</v>
      </c>
      <c r="I6" s="50"/>
      <c r="J6" s="50"/>
      <c r="K6" s="50"/>
      <c r="L6" s="50"/>
      <c r="M6" s="50"/>
      <c r="N6" s="26"/>
      <c r="O6" s="26"/>
    </row>
    <row r="7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26"/>
      <c r="O7" s="26"/>
    </row>
    <row r="8">
      <c r="A8" s="50"/>
      <c r="B8" s="49" t="s">
        <v>131</v>
      </c>
      <c r="C8" s="50"/>
      <c r="D8" s="50"/>
      <c r="E8" s="50"/>
      <c r="F8" s="50"/>
      <c r="G8" s="50"/>
      <c r="H8" s="49" t="s">
        <v>132</v>
      </c>
      <c r="I8" s="50"/>
      <c r="J8" s="50"/>
      <c r="K8" s="50"/>
      <c r="L8" s="50"/>
      <c r="M8" s="50"/>
      <c r="N8" s="26"/>
      <c r="O8" s="26"/>
    </row>
    <row r="9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26"/>
      <c r="O9" s="26"/>
    </row>
    <row r="10">
      <c r="A10" s="50"/>
      <c r="B10" s="49" t="s">
        <v>133</v>
      </c>
      <c r="C10" s="50"/>
      <c r="D10" s="50"/>
      <c r="E10" s="50"/>
      <c r="F10" s="50"/>
      <c r="G10" s="50"/>
      <c r="H10" s="49" t="s">
        <v>134</v>
      </c>
      <c r="I10" s="50"/>
      <c r="J10" s="50"/>
      <c r="K10" s="50"/>
      <c r="L10" s="50"/>
      <c r="M10" s="50"/>
      <c r="N10" s="26"/>
      <c r="O10" s="26"/>
    </row>
    <row r="11">
      <c r="A11" s="50"/>
      <c r="B11" s="49" t="s">
        <v>135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26"/>
      <c r="O11" s="26"/>
    </row>
    <row r="12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26"/>
      <c r="O12" s="26"/>
    </row>
    <row r="13">
      <c r="A13" s="50"/>
      <c r="B13" s="49" t="s">
        <v>136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26"/>
      <c r="O13" s="26"/>
    </row>
    <row r="14">
      <c r="A14" s="50"/>
      <c r="B14" s="49" t="s">
        <v>137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26"/>
      <c r="O14" s="26"/>
    </row>
    <row r="15">
      <c r="A15" s="50"/>
      <c r="B15" s="49" t="s">
        <v>138</v>
      </c>
      <c r="C15" s="50"/>
      <c r="D15" s="50"/>
      <c r="E15" s="50"/>
      <c r="F15" s="50"/>
      <c r="G15" s="50"/>
      <c r="H15" s="49" t="s">
        <v>139</v>
      </c>
      <c r="I15" s="50"/>
      <c r="J15" s="50"/>
      <c r="K15" s="50"/>
      <c r="L15" s="50"/>
      <c r="M15" s="50"/>
      <c r="N15" s="26"/>
      <c r="O15" s="26"/>
    </row>
    <row r="16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26"/>
      <c r="O16" s="26"/>
    </row>
    <row r="17">
      <c r="A17" s="50"/>
      <c r="B17" s="49" t="s">
        <v>140</v>
      </c>
      <c r="C17" s="50"/>
      <c r="D17" s="50"/>
      <c r="E17" s="50"/>
      <c r="F17" s="50"/>
      <c r="G17" s="50"/>
      <c r="H17" s="49" t="s">
        <v>141</v>
      </c>
      <c r="I17" s="50"/>
      <c r="J17" s="50"/>
      <c r="K17" s="50"/>
      <c r="L17" s="50"/>
      <c r="M17" s="50"/>
      <c r="N17" s="26"/>
      <c r="O17" s="26"/>
    </row>
    <row r="18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26"/>
      <c r="O18" s="26"/>
    </row>
    <row r="19">
      <c r="A19" s="50"/>
      <c r="B19" s="49" t="s">
        <v>142</v>
      </c>
      <c r="C19" s="50"/>
      <c r="D19" s="50"/>
      <c r="E19" s="50"/>
      <c r="F19" s="50"/>
      <c r="G19" s="50"/>
      <c r="H19" s="49" t="s">
        <v>143</v>
      </c>
      <c r="I19" s="50"/>
      <c r="J19" s="50"/>
      <c r="K19" s="50"/>
      <c r="L19" s="50"/>
      <c r="M19" s="50"/>
      <c r="N19" s="26"/>
      <c r="O19" s="26"/>
    </row>
    <row r="20">
      <c r="A20" s="50"/>
      <c r="B20" s="49" t="s">
        <v>144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26"/>
      <c r="O20" s="26"/>
    </row>
    <row r="21">
      <c r="A21" s="50"/>
      <c r="B21" s="50"/>
      <c r="C21" s="50"/>
      <c r="D21" s="50"/>
      <c r="E21" s="50"/>
      <c r="F21" s="50"/>
      <c r="G21" s="50"/>
      <c r="H21" s="49" t="s">
        <v>145</v>
      </c>
      <c r="I21" s="50"/>
      <c r="J21" s="50"/>
      <c r="K21" s="50"/>
      <c r="L21" s="50"/>
      <c r="M21" s="50"/>
      <c r="N21" s="26"/>
      <c r="O21" s="26"/>
    </row>
    <row r="2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26"/>
      <c r="O22" s="26"/>
    </row>
    <row r="23">
      <c r="A23" s="50"/>
      <c r="B23" s="50"/>
      <c r="C23" s="50"/>
      <c r="D23" s="50"/>
      <c r="E23" s="50"/>
      <c r="F23" s="50"/>
      <c r="G23" s="50"/>
      <c r="H23" s="49" t="s">
        <v>146</v>
      </c>
      <c r="I23" s="50"/>
      <c r="J23" s="50"/>
      <c r="K23" s="50"/>
      <c r="L23" s="50"/>
      <c r="M23" s="50"/>
      <c r="N23" s="26"/>
      <c r="O23" s="2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7" t="s">
        <v>147</v>
      </c>
      <c r="B2" s="27" t="s">
        <v>148</v>
      </c>
      <c r="C2" s="29"/>
      <c r="D2" s="29"/>
      <c r="E2" s="29"/>
      <c r="F2" s="29"/>
      <c r="G2" s="29"/>
      <c r="H2" s="29"/>
      <c r="I2" s="29"/>
      <c r="J2" s="30"/>
    </row>
    <row r="3">
      <c r="A3" s="34"/>
      <c r="B3" s="34"/>
      <c r="C3" s="34"/>
      <c r="D3" s="34"/>
      <c r="E3" s="34"/>
      <c r="F3" s="34"/>
      <c r="G3" s="34"/>
      <c r="H3" s="34"/>
      <c r="I3" s="34"/>
    </row>
    <row r="4">
      <c r="A4" s="32" t="s">
        <v>4</v>
      </c>
      <c r="B4" s="32" t="s">
        <v>149</v>
      </c>
      <c r="C4" s="33"/>
      <c r="D4" s="33"/>
      <c r="E4" s="33"/>
      <c r="F4" s="33"/>
      <c r="G4" s="33"/>
      <c r="H4" s="33"/>
      <c r="I4" s="33"/>
      <c r="J4" s="26"/>
    </row>
    <row r="5">
      <c r="A5" s="33"/>
      <c r="B5" s="33"/>
      <c r="C5" s="33"/>
      <c r="D5" s="33"/>
      <c r="E5" s="33"/>
      <c r="F5" s="33"/>
      <c r="G5" s="33"/>
      <c r="H5" s="33"/>
      <c r="I5" s="33"/>
      <c r="J5" s="26"/>
    </row>
    <row r="6">
      <c r="A6" s="33"/>
      <c r="B6" s="49" t="s">
        <v>150</v>
      </c>
      <c r="C6" s="33"/>
      <c r="D6" s="33"/>
      <c r="E6" s="33"/>
      <c r="F6" s="33"/>
      <c r="G6" s="33"/>
      <c r="H6" s="33"/>
      <c r="I6" s="33"/>
      <c r="J6" s="26"/>
    </row>
    <row r="7">
      <c r="A7" s="33"/>
      <c r="B7" s="50"/>
      <c r="C7" s="33"/>
      <c r="D7" s="33"/>
      <c r="E7" s="33"/>
      <c r="F7" s="33"/>
      <c r="G7" s="33"/>
      <c r="H7" s="33"/>
      <c r="I7" s="33"/>
      <c r="J7" s="26"/>
    </row>
    <row r="8">
      <c r="A8" s="33"/>
      <c r="B8" s="49" t="s">
        <v>151</v>
      </c>
      <c r="C8" s="33"/>
      <c r="D8" s="33"/>
      <c r="E8" s="33"/>
      <c r="F8" s="33"/>
      <c r="G8" s="33"/>
      <c r="H8" s="33"/>
      <c r="I8" s="33"/>
      <c r="J8" s="26"/>
    </row>
    <row r="9">
      <c r="A9" s="33"/>
      <c r="B9" s="50"/>
      <c r="C9" s="33"/>
      <c r="D9" s="33"/>
      <c r="E9" s="33"/>
      <c r="F9" s="33"/>
      <c r="G9" s="33"/>
      <c r="H9" s="33"/>
      <c r="I9" s="33"/>
      <c r="J9" s="26"/>
    </row>
    <row r="10">
      <c r="A10" s="33"/>
      <c r="B10" s="49" t="s">
        <v>152</v>
      </c>
      <c r="C10" s="33"/>
      <c r="D10" s="33"/>
      <c r="E10" s="33"/>
      <c r="F10" s="33"/>
      <c r="G10" s="33"/>
      <c r="H10" s="33"/>
      <c r="I10" s="33"/>
      <c r="J10" s="26"/>
    </row>
    <row r="11">
      <c r="A11" s="33"/>
      <c r="B11" s="50"/>
      <c r="C11" s="33"/>
      <c r="D11" s="33"/>
      <c r="E11" s="33"/>
      <c r="F11" s="33"/>
      <c r="G11" s="33"/>
      <c r="H11" s="33"/>
      <c r="I11" s="33"/>
      <c r="J11" s="26"/>
    </row>
    <row r="12">
      <c r="A12" s="33"/>
      <c r="B12" s="49" t="s">
        <v>153</v>
      </c>
      <c r="C12" s="33"/>
      <c r="D12" s="33"/>
      <c r="E12" s="33"/>
      <c r="F12" s="33"/>
      <c r="G12" s="33"/>
      <c r="H12" s="33"/>
      <c r="I12" s="33"/>
      <c r="J12" s="26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26"/>
    </row>
    <row r="14">
      <c r="A14" s="33"/>
      <c r="B14" s="49" t="s">
        <v>154</v>
      </c>
      <c r="C14" s="33"/>
      <c r="D14" s="33"/>
      <c r="E14" s="33"/>
      <c r="F14" s="33"/>
      <c r="G14" s="33"/>
      <c r="H14" s="33"/>
      <c r="I14" s="33"/>
      <c r="J14" s="26"/>
    </row>
    <row r="15">
      <c r="A15" s="33"/>
      <c r="B15" s="50"/>
      <c r="C15" s="33"/>
      <c r="D15" s="33"/>
      <c r="E15" s="33"/>
      <c r="F15" s="33"/>
      <c r="G15" s="33"/>
      <c r="H15" s="33"/>
      <c r="I15" s="33"/>
      <c r="J15" s="26"/>
    </row>
    <row r="16">
      <c r="A16" s="33"/>
      <c r="B16" s="49" t="s">
        <v>155</v>
      </c>
      <c r="C16" s="33"/>
      <c r="D16" s="33"/>
      <c r="E16" s="33"/>
      <c r="F16" s="33"/>
      <c r="G16" s="33"/>
      <c r="H16" s="33"/>
      <c r="I16" s="33"/>
      <c r="J16" s="26"/>
    </row>
    <row r="17">
      <c r="A17" s="33"/>
      <c r="B17" s="50"/>
      <c r="C17" s="33"/>
      <c r="D17" s="33"/>
      <c r="E17" s="33"/>
      <c r="F17" s="33"/>
      <c r="G17" s="33"/>
      <c r="H17" s="33"/>
      <c r="I17" s="33"/>
      <c r="J17" s="26"/>
    </row>
    <row r="18">
      <c r="A18" s="33"/>
      <c r="B18" s="49" t="s">
        <v>156</v>
      </c>
      <c r="C18" s="33"/>
      <c r="D18" s="33"/>
      <c r="E18" s="33"/>
      <c r="F18" s="33"/>
      <c r="G18" s="33"/>
      <c r="H18" s="33"/>
      <c r="I18" s="33"/>
      <c r="J18" s="26"/>
    </row>
    <row r="19">
      <c r="A19" s="33"/>
      <c r="B19" s="50"/>
      <c r="C19" s="33"/>
      <c r="D19" s="33"/>
      <c r="E19" s="33"/>
      <c r="F19" s="33"/>
      <c r="G19" s="33"/>
      <c r="H19" s="33"/>
      <c r="I19" s="33"/>
      <c r="J19" s="26"/>
    </row>
    <row r="20">
      <c r="A20" s="33"/>
      <c r="B20" s="32" t="s">
        <v>157</v>
      </c>
      <c r="C20" s="33"/>
      <c r="D20" s="33"/>
      <c r="E20" s="33"/>
      <c r="F20" s="33"/>
      <c r="G20" s="33"/>
      <c r="H20" s="33"/>
      <c r="I20" s="33"/>
      <c r="J20" s="26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26"/>
    </row>
    <row r="22">
      <c r="A22" s="33"/>
      <c r="B22" s="32" t="s">
        <v>158</v>
      </c>
      <c r="C22" s="33"/>
      <c r="D22" s="33"/>
      <c r="E22" s="33"/>
      <c r="F22" s="33"/>
      <c r="G22" s="33"/>
      <c r="H22" s="33"/>
      <c r="I22" s="33"/>
      <c r="J22" s="26"/>
    </row>
    <row r="23">
      <c r="A23" s="33"/>
      <c r="B23" s="33">
        <f>1 - BINOMDIST(7, 15, 0.5, TRUE)</f>
        <v>0.5</v>
      </c>
      <c r="C23" s="33"/>
      <c r="D23" s="33"/>
      <c r="E23" s="33"/>
      <c r="F23" s="33"/>
      <c r="G23" s="33"/>
      <c r="H23" s="33"/>
      <c r="I23" s="33"/>
      <c r="J23" s="26"/>
    </row>
    <row r="24">
      <c r="A24" s="33"/>
      <c r="B24" s="33"/>
      <c r="C24" s="32" t="s">
        <v>159</v>
      </c>
      <c r="D24" s="33"/>
      <c r="E24" s="33"/>
      <c r="F24" s="33"/>
      <c r="G24" s="33"/>
      <c r="H24" s="33"/>
      <c r="I24" s="33"/>
      <c r="J24" s="2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7" t="s">
        <v>160</v>
      </c>
      <c r="B2" s="17" t="s">
        <v>161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9"/>
      <c r="X2" s="19"/>
      <c r="Y2" s="19"/>
      <c r="Z2" s="19"/>
    </row>
    <row r="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2" t="s">
        <v>4</v>
      </c>
      <c r="B4" s="22" t="s">
        <v>162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19"/>
      <c r="X4" s="19"/>
      <c r="Y4" s="19"/>
      <c r="Z4" s="19"/>
    </row>
    <row r="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19"/>
      <c r="X5" s="19"/>
      <c r="Y5" s="19"/>
      <c r="Z5" s="19"/>
    </row>
    <row r="6">
      <c r="A6" s="31"/>
      <c r="B6" s="28" t="s">
        <v>163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19"/>
      <c r="X6" s="19"/>
      <c r="Y6" s="19"/>
      <c r="Z6" s="19"/>
    </row>
    <row r="7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19"/>
      <c r="X7" s="19"/>
      <c r="Y7" s="19"/>
      <c r="Z7" s="19"/>
    </row>
    <row r="8">
      <c r="A8" s="51"/>
      <c r="B8" s="52" t="s">
        <v>9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19"/>
      <c r="X8" s="19"/>
      <c r="Y8" s="19"/>
      <c r="Z8" s="19"/>
    </row>
    <row r="9">
      <c r="A9" s="31"/>
      <c r="B9" s="28" t="s">
        <v>164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19"/>
      <c r="X9" s="19"/>
      <c r="Y9" s="19"/>
      <c r="Z9" s="19"/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19"/>
      <c r="X10" s="19"/>
      <c r="Y10" s="19"/>
      <c r="Z10" s="19"/>
    </row>
    <row r="11">
      <c r="A11" s="31"/>
      <c r="B11" s="28" t="s">
        <v>165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19"/>
      <c r="X11" s="19"/>
      <c r="Y11" s="19"/>
      <c r="Z11" s="19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19"/>
      <c r="X12" s="19"/>
      <c r="Y12" s="19"/>
      <c r="Z12" s="19"/>
    </row>
    <row r="13">
      <c r="A13" s="53"/>
      <c r="B13" s="54" t="s">
        <v>166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19"/>
      <c r="X13" s="19"/>
      <c r="Y13" s="19"/>
      <c r="Z13" s="19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19"/>
      <c r="X14" s="19"/>
      <c r="Y14" s="19"/>
      <c r="Z14" s="19"/>
    </row>
    <row r="15">
      <c r="A15" s="31"/>
      <c r="B15" s="28" t="s">
        <v>167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19"/>
      <c r="X15" s="19"/>
      <c r="Y15" s="19"/>
      <c r="Z15" s="19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19"/>
      <c r="X16" s="19"/>
      <c r="Y16" s="19"/>
      <c r="Z16" s="19"/>
    </row>
    <row r="17">
      <c r="A17" s="31"/>
      <c r="B17" s="28" t="s">
        <v>168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19"/>
      <c r="X17" s="19"/>
      <c r="Y17" s="19"/>
      <c r="Z17" s="19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19"/>
      <c r="X18" s="19"/>
      <c r="Y18" s="19"/>
      <c r="Z18" s="19"/>
    </row>
    <row r="19">
      <c r="A19" s="31"/>
      <c r="B19" s="28" t="s">
        <v>169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19"/>
      <c r="X19" s="19"/>
      <c r="Y19" s="19"/>
      <c r="Z19" s="19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19"/>
      <c r="X20" s="19"/>
      <c r="Y20" s="19"/>
      <c r="Z20" s="19"/>
    </row>
    <row r="21">
      <c r="A21" s="31"/>
      <c r="B21" s="28" t="s">
        <v>170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19"/>
      <c r="X21" s="19"/>
      <c r="Y21" s="19"/>
      <c r="Z21" s="19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19"/>
      <c r="X22" s="19"/>
      <c r="Y22" s="19"/>
      <c r="Z22" s="19"/>
    </row>
    <row r="23">
      <c r="A23" s="31"/>
      <c r="B23" s="28" t="s">
        <v>171</v>
      </c>
      <c r="C23" s="31"/>
      <c r="D23" s="31"/>
      <c r="E23" s="31"/>
      <c r="F23" s="31"/>
      <c r="G23" s="31"/>
      <c r="H23" s="31"/>
      <c r="I23" s="31"/>
      <c r="J23" s="28" t="s">
        <v>172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19"/>
      <c r="X23" s="19"/>
      <c r="Y23" s="19"/>
      <c r="Z23" s="19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19"/>
      <c r="X24" s="19"/>
      <c r="Y24" s="19"/>
      <c r="Z24" s="19"/>
    </row>
    <row r="25">
      <c r="A25" s="31"/>
      <c r="B25" s="28" t="s">
        <v>173</v>
      </c>
      <c r="C25" s="31"/>
      <c r="D25" s="31"/>
      <c r="E25" s="31"/>
      <c r="F25" s="31"/>
      <c r="G25" s="31"/>
      <c r="H25" s="31"/>
      <c r="I25" s="31"/>
      <c r="J25" s="28" t="s">
        <v>174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19"/>
      <c r="X25" s="19"/>
      <c r="Y25" s="19"/>
      <c r="Z25" s="19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19"/>
      <c r="X26" s="19"/>
      <c r="Y26" s="19"/>
      <c r="Z26" s="19"/>
    </row>
    <row r="27">
      <c r="A27" s="31"/>
      <c r="B27" s="28" t="s">
        <v>175</v>
      </c>
      <c r="C27" s="31"/>
      <c r="D27" s="31"/>
      <c r="E27" s="31"/>
      <c r="F27" s="31"/>
      <c r="G27" s="31"/>
      <c r="H27" s="31"/>
      <c r="I27" s="31"/>
      <c r="J27" s="28" t="s">
        <v>176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19"/>
      <c r="X27" s="19"/>
      <c r="Y27" s="19"/>
      <c r="Z27" s="19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19"/>
      <c r="X28" s="19"/>
      <c r="Y28" s="19"/>
      <c r="Z28" s="19"/>
    </row>
    <row r="29">
      <c r="A29" s="31"/>
      <c r="B29" s="28" t="s">
        <v>177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19"/>
      <c r="X29" s="19"/>
      <c r="Y29" s="19"/>
      <c r="Z29" s="19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19"/>
      <c r="X30" s="19"/>
      <c r="Y30" s="19"/>
      <c r="Z30" s="19"/>
    </row>
    <row r="31">
      <c r="A31" s="55"/>
      <c r="B31" s="56" t="s">
        <v>178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19"/>
      <c r="X31" s="19"/>
      <c r="Y31" s="19"/>
      <c r="Z31" s="19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19"/>
      <c r="X32" s="19"/>
      <c r="Y32" s="19"/>
      <c r="Z32" s="19"/>
    </row>
    <row r="33">
      <c r="A33" s="31"/>
      <c r="B33" s="28" t="s">
        <v>179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19"/>
      <c r="X33" s="19"/>
      <c r="Y33" s="19"/>
      <c r="Z33" s="19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19"/>
      <c r="X34" s="19"/>
      <c r="Y34" s="19"/>
      <c r="Z34" s="19"/>
    </row>
    <row r="35">
      <c r="A35" s="31"/>
      <c r="B35" s="28" t="s">
        <v>180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19"/>
      <c r="X35" s="19"/>
      <c r="Y35" s="19"/>
      <c r="Z35" s="19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19"/>
      <c r="X36" s="19"/>
      <c r="Y36" s="19"/>
      <c r="Z36" s="19"/>
    </row>
    <row r="37">
      <c r="A37" s="31"/>
      <c r="B37" s="28" t="s">
        <v>181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</sheetData>
  <drawing r:id="rId1"/>
</worksheet>
</file>